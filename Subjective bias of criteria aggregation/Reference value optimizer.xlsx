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en_skoroszyt" defaultThemeVersion="202300"/>
  <mc:AlternateContent xmlns:mc="http://schemas.openxmlformats.org/markup-compatibility/2006">
    <mc:Choice Requires="x15">
      <x15ac:absPath xmlns:x15ac="http://schemas.microsoft.com/office/spreadsheetml/2010/11/ac" url="/Users/tomash/Projects/DesignFlawsEvaluation/Subjective bias of criteria aggregation/"/>
    </mc:Choice>
  </mc:AlternateContent>
  <xr:revisionPtr revIDLastSave="0" documentId="13_ncr:1_{AAC4D9BC-3201-D343-BE51-93C393ECDABC}" xr6:coauthVersionLast="47" xr6:coauthVersionMax="47" xr10:uidLastSave="{00000000-0000-0000-0000-000000000000}"/>
  <bookViews>
    <workbookView xWindow="20580" yWindow="880" windowWidth="20560" windowHeight="25700" xr2:uid="{9E4405CB-EE6D-D946-B9BD-19404967C641}"/>
  </bookViews>
  <sheets>
    <sheet name="simulation" sheetId="4" r:id="rId1"/>
  </sheets>
  <definedNames>
    <definedName name="_xlnm._FilterDatabase" localSheetId="0" hidden="1">simulation!$A$11:$X$50</definedName>
    <definedName name="solver_adj" localSheetId="0" hidden="1">simulation!$C$5,simulation!$C$7:$E$9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itr" localSheetId="0" hidden="1">2147483647</definedName>
    <definedName name="solver_lhs1" localSheetId="0" hidden="1">simulation!$C$5</definedName>
    <definedName name="solver_lhs2" localSheetId="0" hidden="1">simulation!$C$5</definedName>
    <definedName name="solver_lhs3" localSheetId="0" hidden="1">simulation!$C$7:$C$9</definedName>
    <definedName name="solver_lhs4" localSheetId="0" hidden="1">simulation!$C$8:$E$8</definedName>
    <definedName name="solver_lhs5" localSheetId="0" hidden="1">simulation!$C$9:$E$9</definedName>
    <definedName name="solver_lhs6" localSheetId="0" hidden="1">simulation!$C$9:$E$9</definedName>
    <definedName name="solver_lhs7" localSheetId="0" hidden="1">simulation!$D$7:$D$9</definedName>
    <definedName name="solver_lhs8" localSheetId="0" hidden="1">simulation!$E$7:$E$9</definedName>
    <definedName name="solver_lin" localSheetId="0" hidden="1">2</definedName>
    <definedName name="solver_mip" localSheetId="0" hidden="1">2147483647</definedName>
    <definedName name="solver_mni" localSheetId="0" hidden="1">45</definedName>
    <definedName name="solver_mrt" localSheetId="0" hidden="1">0.0125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8</definedName>
    <definedName name="solver_opt" localSheetId="0" hidden="1">simulation!$R$7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3</definedName>
    <definedName name="solver_rel7" localSheetId="0" hidden="1">1</definedName>
    <definedName name="solver_rel8" localSheetId="0" hidden="1">1</definedName>
    <definedName name="solver_rhs1" localSheetId="0" hidden="1">0.9</definedName>
    <definedName name="solver_rhs2" localSheetId="0" hidden="1">0.05</definedName>
    <definedName name="solver_rhs3" localSheetId="0" hidden="1">600</definedName>
    <definedName name="solver_rhs4" localSheetId="0" hidden="1">simulation!$C$7:$E$7</definedName>
    <definedName name="solver_rhs5" localSheetId="0" hidden="1">simulation!$C$8:$E$8</definedName>
    <definedName name="solver_rhs6" localSheetId="0" hidden="1">1</definedName>
    <definedName name="solver_rhs7" localSheetId="0" hidden="1">45</definedName>
    <definedName name="solver_rhs8" localSheetId="0" hidden="1">120</definedName>
    <definedName name="solver_rlx" localSheetId="0" hidden="1">1</definedName>
    <definedName name="solver_rsd" localSheetId="0" hidden="1">13</definedName>
    <definedName name="solver_scl" localSheetId="0" hidden="1">2</definedName>
    <definedName name="solver_sho" localSheetId="0" hidden="1">2</definedName>
    <definedName name="solver_ssz" localSheetId="0" hidden="1">500</definedName>
    <definedName name="solver_tim" localSheetId="0" hidden="1">60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4" l="1" a="1"/>
  <c r="T2" i="4" s="1"/>
  <c r="N7" i="4" a="1"/>
  <c r="N7" i="4" s="1"/>
  <c r="Q36" i="4" a="1"/>
  <c r="Q36" i="4" s="1"/>
  <c r="P36" i="4" a="1"/>
  <c r="P36" i="4" s="1"/>
  <c r="O36" i="4" a="1"/>
  <c r="O36" i="4" s="1"/>
  <c r="M36" i="4" a="1"/>
  <c r="M36" i="4" s="1"/>
  <c r="L36" i="4" a="1"/>
  <c r="L36" i="4" s="1"/>
  <c r="K36" i="4" a="1"/>
  <c r="K36" i="4" s="1"/>
  <c r="I36" i="4" a="1"/>
  <c r="I36" i="4" s="1"/>
  <c r="H36" i="4" a="1"/>
  <c r="H36" i="4" s="1"/>
  <c r="G36" i="4" a="1"/>
  <c r="G36" i="4" s="1"/>
  <c r="Q42" i="4" a="1"/>
  <c r="Q42" i="4" s="1"/>
  <c r="P42" i="4" a="1"/>
  <c r="P42" i="4" s="1"/>
  <c r="O42" i="4" a="1"/>
  <c r="O42" i="4" s="1"/>
  <c r="M42" i="4" a="1"/>
  <c r="M42" i="4" s="1"/>
  <c r="L42" i="4" a="1"/>
  <c r="L42" i="4" s="1"/>
  <c r="K42" i="4" a="1"/>
  <c r="K42" i="4" s="1"/>
  <c r="I42" i="4" a="1"/>
  <c r="I42" i="4" s="1"/>
  <c r="H42" i="4" a="1"/>
  <c r="H42" i="4" s="1"/>
  <c r="G42" i="4" a="1"/>
  <c r="G42" i="4" s="1"/>
  <c r="Q28" i="4" a="1"/>
  <c r="Q28" i="4" s="1"/>
  <c r="P28" i="4" a="1"/>
  <c r="P28" i="4" s="1"/>
  <c r="O28" i="4" a="1"/>
  <c r="O28" i="4" s="1"/>
  <c r="M28" i="4" a="1"/>
  <c r="M28" i="4" s="1"/>
  <c r="L28" i="4" a="1"/>
  <c r="L28" i="4" s="1"/>
  <c r="K28" i="4" a="1"/>
  <c r="K28" i="4" s="1"/>
  <c r="I28" i="4" a="1"/>
  <c r="I28" i="4" s="1"/>
  <c r="H28" i="4" a="1"/>
  <c r="H28" i="4" s="1"/>
  <c r="G28" i="4" a="1"/>
  <c r="G28" i="4" s="1"/>
  <c r="Q23" i="4" a="1"/>
  <c r="Q23" i="4" s="1"/>
  <c r="P23" i="4" a="1"/>
  <c r="P23" i="4" s="1"/>
  <c r="O23" i="4" a="1"/>
  <c r="O23" i="4" s="1"/>
  <c r="M23" i="4" a="1"/>
  <c r="M23" i="4" s="1"/>
  <c r="L23" i="4" a="1"/>
  <c r="L23" i="4" s="1"/>
  <c r="K23" i="4" a="1"/>
  <c r="K23" i="4" s="1"/>
  <c r="I23" i="4" a="1"/>
  <c r="I23" i="4" s="1"/>
  <c r="H23" i="4" a="1"/>
  <c r="H23" i="4" s="1"/>
  <c r="G23" i="4" a="1"/>
  <c r="G23" i="4" s="1"/>
  <c r="Q39" i="4" a="1"/>
  <c r="Q39" i="4" s="1"/>
  <c r="P39" i="4" a="1"/>
  <c r="P39" i="4" s="1"/>
  <c r="O39" i="4" a="1"/>
  <c r="O39" i="4" s="1"/>
  <c r="M39" i="4" a="1"/>
  <c r="M39" i="4" s="1"/>
  <c r="L39" i="4" a="1"/>
  <c r="L39" i="4" s="1"/>
  <c r="K39" i="4" a="1"/>
  <c r="K39" i="4" s="1"/>
  <c r="I39" i="4" a="1"/>
  <c r="I39" i="4" s="1"/>
  <c r="H39" i="4" a="1"/>
  <c r="H39" i="4" s="1"/>
  <c r="G39" i="4" a="1"/>
  <c r="G39" i="4" s="1"/>
  <c r="Q21" i="4" a="1"/>
  <c r="Q21" i="4" s="1"/>
  <c r="P21" i="4" a="1"/>
  <c r="P21" i="4" s="1"/>
  <c r="O21" i="4" a="1"/>
  <c r="O21" i="4" s="1"/>
  <c r="M21" i="4" a="1"/>
  <c r="M21" i="4" s="1"/>
  <c r="L21" i="4" a="1"/>
  <c r="L21" i="4" s="1"/>
  <c r="K21" i="4" a="1"/>
  <c r="K21" i="4" s="1"/>
  <c r="I21" i="4" a="1"/>
  <c r="I21" i="4" s="1"/>
  <c r="H21" i="4" a="1"/>
  <c r="H21" i="4" s="1"/>
  <c r="G21" i="4" a="1"/>
  <c r="G21" i="4" s="1"/>
  <c r="Q32" i="4" a="1"/>
  <c r="Q32" i="4" s="1"/>
  <c r="P32" i="4" a="1"/>
  <c r="P32" i="4" s="1"/>
  <c r="O32" i="4" a="1"/>
  <c r="O32" i="4" s="1"/>
  <c r="M32" i="4" a="1"/>
  <c r="M32" i="4" s="1"/>
  <c r="L32" i="4" a="1"/>
  <c r="L32" i="4" s="1"/>
  <c r="K32" i="4" a="1"/>
  <c r="K32" i="4" s="1"/>
  <c r="I32" i="4" a="1"/>
  <c r="I32" i="4" s="1"/>
  <c r="H32" i="4" a="1"/>
  <c r="H32" i="4" s="1"/>
  <c r="G32" i="4" a="1"/>
  <c r="G32" i="4" s="1"/>
  <c r="Q37" i="4" a="1"/>
  <c r="Q37" i="4" s="1"/>
  <c r="P37" i="4" a="1"/>
  <c r="P37" i="4" s="1"/>
  <c r="O37" i="4" a="1"/>
  <c r="O37" i="4" s="1"/>
  <c r="M37" i="4" a="1"/>
  <c r="M37" i="4" s="1"/>
  <c r="L37" i="4" a="1"/>
  <c r="L37" i="4" s="1"/>
  <c r="K37" i="4" a="1"/>
  <c r="K37" i="4" s="1"/>
  <c r="I37" i="4" a="1"/>
  <c r="I37" i="4" s="1"/>
  <c r="H37" i="4" a="1"/>
  <c r="H37" i="4" s="1"/>
  <c r="G37" i="4" a="1"/>
  <c r="G37" i="4" s="1"/>
  <c r="Q47" i="4" a="1"/>
  <c r="Q47" i="4" s="1"/>
  <c r="P47" i="4" a="1"/>
  <c r="P47" i="4" s="1"/>
  <c r="O47" i="4" a="1"/>
  <c r="O47" i="4" s="1"/>
  <c r="M47" i="4" a="1"/>
  <c r="M47" i="4" s="1"/>
  <c r="L47" i="4" a="1"/>
  <c r="L47" i="4" s="1"/>
  <c r="K47" i="4" a="1"/>
  <c r="K47" i="4" s="1"/>
  <c r="I47" i="4" a="1"/>
  <c r="I47" i="4" s="1"/>
  <c r="H47" i="4" a="1"/>
  <c r="H47" i="4" s="1"/>
  <c r="G47" i="4" a="1"/>
  <c r="G47" i="4" s="1"/>
  <c r="Q46" i="4" a="1"/>
  <c r="Q46" i="4" s="1"/>
  <c r="P46" i="4" a="1"/>
  <c r="P46" i="4" s="1"/>
  <c r="O46" i="4" a="1"/>
  <c r="O46" i="4" s="1"/>
  <c r="M46" i="4" a="1"/>
  <c r="M46" i="4" s="1"/>
  <c r="L46" i="4" a="1"/>
  <c r="L46" i="4" s="1"/>
  <c r="K46" i="4" a="1"/>
  <c r="K46" i="4" s="1"/>
  <c r="I46" i="4" a="1"/>
  <c r="I46" i="4" s="1"/>
  <c r="H46" i="4" a="1"/>
  <c r="H46" i="4" s="1"/>
  <c r="G46" i="4" a="1"/>
  <c r="G46" i="4" s="1"/>
  <c r="Q45" i="4" a="1"/>
  <c r="Q45" i="4" s="1"/>
  <c r="P45" i="4" a="1"/>
  <c r="P45" i="4" s="1"/>
  <c r="O45" i="4" a="1"/>
  <c r="O45" i="4" s="1"/>
  <c r="M45" i="4" a="1"/>
  <c r="M45" i="4" s="1"/>
  <c r="L45" i="4" a="1"/>
  <c r="L45" i="4" s="1"/>
  <c r="K45" i="4" a="1"/>
  <c r="K45" i="4" s="1"/>
  <c r="I45" i="4" a="1"/>
  <c r="I45" i="4" s="1"/>
  <c r="H45" i="4" a="1"/>
  <c r="H45" i="4" s="1"/>
  <c r="G45" i="4" a="1"/>
  <c r="G45" i="4" s="1"/>
  <c r="Q41" i="4" a="1"/>
  <c r="Q41" i="4" s="1"/>
  <c r="P41" i="4" a="1"/>
  <c r="P41" i="4" s="1"/>
  <c r="O41" i="4" a="1"/>
  <c r="O41" i="4" s="1"/>
  <c r="M41" i="4" a="1"/>
  <c r="M41" i="4" s="1"/>
  <c r="L41" i="4" a="1"/>
  <c r="L41" i="4" s="1"/>
  <c r="K41" i="4" a="1"/>
  <c r="K41" i="4" s="1"/>
  <c r="I41" i="4" a="1"/>
  <c r="I41" i="4" s="1"/>
  <c r="H41" i="4" a="1"/>
  <c r="H41" i="4" s="1"/>
  <c r="G41" i="4" a="1"/>
  <c r="G41" i="4" s="1"/>
  <c r="Q49" i="4" a="1"/>
  <c r="Q49" i="4" s="1"/>
  <c r="P49" i="4" a="1"/>
  <c r="P49" i="4" s="1"/>
  <c r="O49" i="4" a="1"/>
  <c r="O49" i="4" s="1"/>
  <c r="M49" i="4" a="1"/>
  <c r="M49" i="4" s="1"/>
  <c r="L49" i="4" a="1"/>
  <c r="L49" i="4" s="1"/>
  <c r="K49" i="4" a="1"/>
  <c r="K49" i="4" s="1"/>
  <c r="I49" i="4" a="1"/>
  <c r="I49" i="4" s="1"/>
  <c r="H49" i="4" a="1"/>
  <c r="H49" i="4" s="1"/>
  <c r="G49" i="4" a="1"/>
  <c r="G49" i="4" s="1"/>
  <c r="Q30" i="4" a="1"/>
  <c r="Q30" i="4" s="1"/>
  <c r="P30" i="4" a="1"/>
  <c r="P30" i="4" s="1"/>
  <c r="O30" i="4" a="1"/>
  <c r="O30" i="4" s="1"/>
  <c r="M30" i="4" a="1"/>
  <c r="M30" i="4" s="1"/>
  <c r="L30" i="4" a="1"/>
  <c r="L30" i="4" s="1"/>
  <c r="K30" i="4" a="1"/>
  <c r="K30" i="4" s="1"/>
  <c r="I30" i="4" a="1"/>
  <c r="I30" i="4" s="1"/>
  <c r="H30" i="4" a="1"/>
  <c r="H30" i="4" s="1"/>
  <c r="G30" i="4" a="1"/>
  <c r="G30" i="4" s="1"/>
  <c r="Q19" i="4" a="1"/>
  <c r="Q19" i="4" s="1"/>
  <c r="P19" i="4" a="1"/>
  <c r="P19" i="4" s="1"/>
  <c r="O19" i="4" a="1"/>
  <c r="O19" i="4" s="1"/>
  <c r="M19" i="4" a="1"/>
  <c r="M19" i="4" s="1"/>
  <c r="L19" i="4" a="1"/>
  <c r="L19" i="4" s="1"/>
  <c r="K19" i="4" a="1"/>
  <c r="K19" i="4" s="1"/>
  <c r="I19" i="4" a="1"/>
  <c r="I19" i="4" s="1"/>
  <c r="H19" i="4" a="1"/>
  <c r="H19" i="4" s="1"/>
  <c r="G19" i="4" a="1"/>
  <c r="G19" i="4" s="1"/>
  <c r="Q29" i="4" a="1"/>
  <c r="Q29" i="4" s="1"/>
  <c r="P29" i="4" a="1"/>
  <c r="P29" i="4" s="1"/>
  <c r="O29" i="4" a="1"/>
  <c r="O29" i="4" s="1"/>
  <c r="M29" i="4" a="1"/>
  <c r="M29" i="4" s="1"/>
  <c r="L29" i="4" a="1"/>
  <c r="L29" i="4" s="1"/>
  <c r="K29" i="4" a="1"/>
  <c r="K29" i="4" s="1"/>
  <c r="I29" i="4" a="1"/>
  <c r="I29" i="4" s="1"/>
  <c r="H29" i="4" a="1"/>
  <c r="H29" i="4" s="1"/>
  <c r="G29" i="4" a="1"/>
  <c r="G29" i="4" s="1"/>
  <c r="Q27" i="4" a="1"/>
  <c r="Q27" i="4" s="1"/>
  <c r="P27" i="4" a="1"/>
  <c r="P27" i="4" s="1"/>
  <c r="O27" i="4" a="1"/>
  <c r="O27" i="4" s="1"/>
  <c r="M27" i="4" a="1"/>
  <c r="M27" i="4" s="1"/>
  <c r="L27" i="4" a="1"/>
  <c r="L27" i="4" s="1"/>
  <c r="K27" i="4" a="1"/>
  <c r="K27" i="4" s="1"/>
  <c r="I27" i="4" a="1"/>
  <c r="I27" i="4" s="1"/>
  <c r="H27" i="4" a="1"/>
  <c r="H27" i="4" s="1"/>
  <c r="G27" i="4" a="1"/>
  <c r="G27" i="4" s="1"/>
  <c r="Q38" i="4" a="1"/>
  <c r="Q38" i="4" s="1"/>
  <c r="P38" i="4" a="1"/>
  <c r="P38" i="4" s="1"/>
  <c r="O38" i="4" a="1"/>
  <c r="O38" i="4" s="1"/>
  <c r="M38" i="4" a="1"/>
  <c r="M38" i="4" s="1"/>
  <c r="L38" i="4" a="1"/>
  <c r="L38" i="4" s="1"/>
  <c r="K38" i="4" a="1"/>
  <c r="K38" i="4" s="1"/>
  <c r="I38" i="4" a="1"/>
  <c r="I38" i="4" s="1"/>
  <c r="H38" i="4" a="1"/>
  <c r="H38" i="4" s="1"/>
  <c r="G38" i="4" a="1"/>
  <c r="G38" i="4" s="1"/>
  <c r="Q43" i="4" a="1"/>
  <c r="Q43" i="4" s="1"/>
  <c r="P43" i="4" a="1"/>
  <c r="P43" i="4" s="1"/>
  <c r="O43" i="4" a="1"/>
  <c r="O43" i="4" s="1"/>
  <c r="M43" i="4" a="1"/>
  <c r="M43" i="4" s="1"/>
  <c r="L43" i="4" a="1"/>
  <c r="L43" i="4" s="1"/>
  <c r="K43" i="4" a="1"/>
  <c r="K43" i="4" s="1"/>
  <c r="I43" i="4" a="1"/>
  <c r="I43" i="4" s="1"/>
  <c r="H43" i="4" a="1"/>
  <c r="H43" i="4" s="1"/>
  <c r="G43" i="4" a="1"/>
  <c r="G43" i="4" s="1"/>
  <c r="Q16" i="4" a="1"/>
  <c r="Q16" i="4" s="1"/>
  <c r="P16" i="4" a="1"/>
  <c r="P16" i="4" s="1"/>
  <c r="O16" i="4" a="1"/>
  <c r="O16" i="4" s="1"/>
  <c r="M16" i="4" a="1"/>
  <c r="M16" i="4" s="1"/>
  <c r="L16" i="4" a="1"/>
  <c r="L16" i="4" s="1"/>
  <c r="K16" i="4" a="1"/>
  <c r="K16" i="4" s="1"/>
  <c r="I16" i="4" a="1"/>
  <c r="I16" i="4" s="1"/>
  <c r="H16" i="4" a="1"/>
  <c r="H16" i="4" s="1"/>
  <c r="G16" i="4" a="1"/>
  <c r="G16" i="4" s="1"/>
  <c r="Q40" i="4" a="1"/>
  <c r="Q40" i="4" s="1"/>
  <c r="P40" i="4" a="1"/>
  <c r="P40" i="4" s="1"/>
  <c r="O40" i="4" a="1"/>
  <c r="O40" i="4" s="1"/>
  <c r="M40" i="4" a="1"/>
  <c r="M40" i="4" s="1"/>
  <c r="L40" i="4" a="1"/>
  <c r="L40" i="4" s="1"/>
  <c r="K40" i="4" a="1"/>
  <c r="K40" i="4" s="1"/>
  <c r="I40" i="4" a="1"/>
  <c r="I40" i="4" s="1"/>
  <c r="H40" i="4" a="1"/>
  <c r="H40" i="4" s="1"/>
  <c r="G40" i="4" a="1"/>
  <c r="G40" i="4" s="1"/>
  <c r="Q18" i="4" a="1"/>
  <c r="Q18" i="4" s="1"/>
  <c r="P18" i="4" a="1"/>
  <c r="P18" i="4" s="1"/>
  <c r="O18" i="4" a="1"/>
  <c r="O18" i="4" s="1"/>
  <c r="M18" i="4" a="1"/>
  <c r="M18" i="4" s="1"/>
  <c r="L18" i="4" a="1"/>
  <c r="L18" i="4" s="1"/>
  <c r="K18" i="4" a="1"/>
  <c r="K18" i="4" s="1"/>
  <c r="I18" i="4" a="1"/>
  <c r="I18" i="4" s="1"/>
  <c r="H18" i="4" a="1"/>
  <c r="H18" i="4" s="1"/>
  <c r="G18" i="4" a="1"/>
  <c r="G18" i="4" s="1"/>
  <c r="Q26" i="4" a="1"/>
  <c r="Q26" i="4" s="1"/>
  <c r="P26" i="4" a="1"/>
  <c r="P26" i="4" s="1"/>
  <c r="O26" i="4" a="1"/>
  <c r="O26" i="4" s="1"/>
  <c r="M26" i="4" a="1"/>
  <c r="M26" i="4" s="1"/>
  <c r="L26" i="4" a="1"/>
  <c r="L26" i="4" s="1"/>
  <c r="K26" i="4" a="1"/>
  <c r="K26" i="4" s="1"/>
  <c r="I26" i="4" a="1"/>
  <c r="I26" i="4" s="1"/>
  <c r="H26" i="4" a="1"/>
  <c r="H26" i="4" s="1"/>
  <c r="G26" i="4" a="1"/>
  <c r="G26" i="4" s="1"/>
  <c r="Q31" i="4" a="1"/>
  <c r="Q31" i="4" s="1"/>
  <c r="P31" i="4" a="1"/>
  <c r="P31" i="4" s="1"/>
  <c r="O31" i="4" a="1"/>
  <c r="O31" i="4" s="1"/>
  <c r="M31" i="4" a="1"/>
  <c r="M31" i="4" s="1"/>
  <c r="L31" i="4" a="1"/>
  <c r="L31" i="4" s="1"/>
  <c r="K31" i="4" a="1"/>
  <c r="K31" i="4" s="1"/>
  <c r="I31" i="4" a="1"/>
  <c r="I31" i="4" s="1"/>
  <c r="H31" i="4" a="1"/>
  <c r="H31" i="4" s="1"/>
  <c r="G31" i="4" a="1"/>
  <c r="G31" i="4" s="1"/>
  <c r="Q22" i="4" a="1"/>
  <c r="Q22" i="4" s="1"/>
  <c r="P22" i="4" a="1"/>
  <c r="P22" i="4" s="1"/>
  <c r="O22" i="4" a="1"/>
  <c r="O22" i="4" s="1"/>
  <c r="M22" i="4" a="1"/>
  <c r="M22" i="4" s="1"/>
  <c r="L22" i="4" a="1"/>
  <c r="L22" i="4" s="1"/>
  <c r="K22" i="4" a="1"/>
  <c r="K22" i="4" s="1"/>
  <c r="I22" i="4" a="1"/>
  <c r="I22" i="4" s="1"/>
  <c r="H22" i="4" a="1"/>
  <c r="H22" i="4" s="1"/>
  <c r="G22" i="4" a="1"/>
  <c r="G22" i="4" s="1"/>
  <c r="Q33" i="4" a="1"/>
  <c r="Q33" i="4" s="1"/>
  <c r="P33" i="4" a="1"/>
  <c r="P33" i="4" s="1"/>
  <c r="O33" i="4" a="1"/>
  <c r="O33" i="4" s="1"/>
  <c r="M33" i="4" a="1"/>
  <c r="M33" i="4" s="1"/>
  <c r="L33" i="4" a="1"/>
  <c r="L33" i="4" s="1"/>
  <c r="K33" i="4" a="1"/>
  <c r="K33" i="4" s="1"/>
  <c r="I33" i="4" a="1"/>
  <c r="I33" i="4" s="1"/>
  <c r="H33" i="4" a="1"/>
  <c r="H33" i="4" s="1"/>
  <c r="G33" i="4" a="1"/>
  <c r="G33" i="4" s="1"/>
  <c r="Q20" i="4" a="1"/>
  <c r="Q20" i="4" s="1"/>
  <c r="P20" i="4" a="1"/>
  <c r="P20" i="4" s="1"/>
  <c r="O20" i="4" a="1"/>
  <c r="O20" i="4" s="1"/>
  <c r="M20" i="4" a="1"/>
  <c r="M20" i="4" s="1"/>
  <c r="L20" i="4" a="1"/>
  <c r="L20" i="4" s="1"/>
  <c r="K20" i="4" a="1"/>
  <c r="K20" i="4" s="1"/>
  <c r="I20" i="4" a="1"/>
  <c r="I20" i="4" s="1"/>
  <c r="H20" i="4" a="1"/>
  <c r="H20" i="4" s="1"/>
  <c r="G20" i="4" a="1"/>
  <c r="G20" i="4" s="1"/>
  <c r="Q44" i="4" a="1"/>
  <c r="Q44" i="4" s="1"/>
  <c r="P44" i="4" a="1"/>
  <c r="P44" i="4" s="1"/>
  <c r="O44" i="4" a="1"/>
  <c r="O44" i="4" s="1"/>
  <c r="M44" i="4" a="1"/>
  <c r="M44" i="4" s="1"/>
  <c r="L44" i="4" a="1"/>
  <c r="L44" i="4" s="1"/>
  <c r="K44" i="4" a="1"/>
  <c r="K44" i="4" s="1"/>
  <c r="I44" i="4" a="1"/>
  <c r="I44" i="4" s="1"/>
  <c r="H44" i="4" a="1"/>
  <c r="H44" i="4" s="1"/>
  <c r="G44" i="4" a="1"/>
  <c r="G44" i="4" s="1"/>
  <c r="Q34" i="4" a="1"/>
  <c r="Q34" i="4" s="1"/>
  <c r="P34" i="4" a="1"/>
  <c r="P34" i="4" s="1"/>
  <c r="O34" i="4" a="1"/>
  <c r="O34" i="4" s="1"/>
  <c r="M34" i="4" a="1"/>
  <c r="M34" i="4" s="1"/>
  <c r="L34" i="4" a="1"/>
  <c r="L34" i="4" s="1"/>
  <c r="K34" i="4" a="1"/>
  <c r="K34" i="4" s="1"/>
  <c r="I34" i="4" a="1"/>
  <c r="I34" i="4" s="1"/>
  <c r="H34" i="4" a="1"/>
  <c r="H34" i="4" s="1"/>
  <c r="G34" i="4" a="1"/>
  <c r="G34" i="4" s="1"/>
  <c r="Q24" i="4" a="1"/>
  <c r="Q24" i="4" s="1"/>
  <c r="P24" i="4" a="1"/>
  <c r="P24" i="4" s="1"/>
  <c r="O24" i="4" a="1"/>
  <c r="O24" i="4" s="1"/>
  <c r="M24" i="4" a="1"/>
  <c r="M24" i="4" s="1"/>
  <c r="L24" i="4" a="1"/>
  <c r="L24" i="4" s="1"/>
  <c r="K24" i="4" a="1"/>
  <c r="K24" i="4" s="1"/>
  <c r="I24" i="4" a="1"/>
  <c r="I24" i="4" s="1"/>
  <c r="H24" i="4" a="1"/>
  <c r="H24" i="4" s="1"/>
  <c r="G24" i="4" a="1"/>
  <c r="G24" i="4" s="1"/>
  <c r="Q12" i="4" a="1"/>
  <c r="Q12" i="4" s="1"/>
  <c r="P12" i="4" a="1"/>
  <c r="P12" i="4" s="1"/>
  <c r="O12" i="4" a="1"/>
  <c r="O12" i="4" s="1"/>
  <c r="M12" i="4" a="1"/>
  <c r="M12" i="4" s="1"/>
  <c r="L12" i="4" a="1"/>
  <c r="L12" i="4" s="1"/>
  <c r="K12" i="4" a="1"/>
  <c r="K12" i="4" s="1"/>
  <c r="I12" i="4" a="1"/>
  <c r="I12" i="4" s="1"/>
  <c r="H12" i="4" a="1"/>
  <c r="H12" i="4" s="1"/>
  <c r="G12" i="4" a="1"/>
  <c r="G12" i="4" s="1"/>
  <c r="Q13" i="4" a="1"/>
  <c r="Q13" i="4" s="1"/>
  <c r="P13" i="4" a="1"/>
  <c r="P13" i="4" s="1"/>
  <c r="O13" i="4" a="1"/>
  <c r="O13" i="4" s="1"/>
  <c r="M13" i="4" a="1"/>
  <c r="M13" i="4" s="1"/>
  <c r="L13" i="4" a="1"/>
  <c r="L13" i="4" s="1"/>
  <c r="K13" i="4" a="1"/>
  <c r="K13" i="4" s="1"/>
  <c r="I13" i="4" a="1"/>
  <c r="I13" i="4" s="1"/>
  <c r="H13" i="4" a="1"/>
  <c r="H13" i="4" s="1"/>
  <c r="G13" i="4" a="1"/>
  <c r="G13" i="4" s="1"/>
  <c r="Q35" i="4" a="1"/>
  <c r="Q35" i="4" s="1"/>
  <c r="P35" i="4" a="1"/>
  <c r="P35" i="4" s="1"/>
  <c r="O35" i="4" a="1"/>
  <c r="O35" i="4" s="1"/>
  <c r="M35" i="4" a="1"/>
  <c r="M35" i="4" s="1"/>
  <c r="L35" i="4" a="1"/>
  <c r="L35" i="4" s="1"/>
  <c r="K35" i="4" a="1"/>
  <c r="K35" i="4" s="1"/>
  <c r="I35" i="4" a="1"/>
  <c r="I35" i="4" s="1"/>
  <c r="H35" i="4" a="1"/>
  <c r="H35" i="4" s="1"/>
  <c r="G35" i="4" a="1"/>
  <c r="G35" i="4" s="1"/>
  <c r="Q25" i="4" a="1"/>
  <c r="Q25" i="4" s="1"/>
  <c r="P25" i="4" a="1"/>
  <c r="P25" i="4" s="1"/>
  <c r="O25" i="4" a="1"/>
  <c r="O25" i="4" s="1"/>
  <c r="M25" i="4" a="1"/>
  <c r="M25" i="4" s="1"/>
  <c r="L25" i="4" a="1"/>
  <c r="L25" i="4" s="1"/>
  <c r="K25" i="4" a="1"/>
  <c r="K25" i="4" s="1"/>
  <c r="I25" i="4" a="1"/>
  <c r="I25" i="4" s="1"/>
  <c r="H25" i="4" a="1"/>
  <c r="H25" i="4" s="1"/>
  <c r="G25" i="4" a="1"/>
  <c r="G25" i="4" s="1"/>
  <c r="Q14" i="4" a="1"/>
  <c r="Q14" i="4" s="1"/>
  <c r="P14" i="4" a="1"/>
  <c r="P14" i="4" s="1"/>
  <c r="O14" i="4" a="1"/>
  <c r="O14" i="4" s="1"/>
  <c r="M14" i="4" a="1"/>
  <c r="M14" i="4" s="1"/>
  <c r="L14" i="4" a="1"/>
  <c r="L14" i="4" s="1"/>
  <c r="K14" i="4" a="1"/>
  <c r="K14" i="4" s="1"/>
  <c r="I14" i="4" a="1"/>
  <c r="I14" i="4" s="1"/>
  <c r="H14" i="4" a="1"/>
  <c r="H14" i="4" s="1"/>
  <c r="G14" i="4" a="1"/>
  <c r="G14" i="4" s="1"/>
  <c r="Q15" i="4" a="1"/>
  <c r="Q15" i="4" s="1"/>
  <c r="P15" i="4" a="1"/>
  <c r="P15" i="4" s="1"/>
  <c r="O15" i="4" a="1"/>
  <c r="O15" i="4" s="1"/>
  <c r="M15" i="4" a="1"/>
  <c r="M15" i="4" s="1"/>
  <c r="L15" i="4" a="1"/>
  <c r="L15" i="4" s="1"/>
  <c r="K15" i="4" a="1"/>
  <c r="K15" i="4" s="1"/>
  <c r="I15" i="4" a="1"/>
  <c r="I15" i="4" s="1"/>
  <c r="H15" i="4" a="1"/>
  <c r="H15" i="4" s="1"/>
  <c r="G15" i="4" a="1"/>
  <c r="G15" i="4" s="1"/>
  <c r="Q48" i="4" a="1"/>
  <c r="Q48" i="4" s="1"/>
  <c r="P48" i="4" a="1"/>
  <c r="P48" i="4" s="1"/>
  <c r="O48" i="4" a="1"/>
  <c r="O48" i="4" s="1"/>
  <c r="M48" i="4" a="1"/>
  <c r="M48" i="4" s="1"/>
  <c r="L48" i="4" a="1"/>
  <c r="L48" i="4" s="1"/>
  <c r="K48" i="4" a="1"/>
  <c r="K48" i="4" s="1"/>
  <c r="I48" i="4" a="1"/>
  <c r="I48" i="4" s="1"/>
  <c r="H48" i="4" a="1"/>
  <c r="H48" i="4" s="1"/>
  <c r="G48" i="4" a="1"/>
  <c r="G48" i="4" s="1"/>
  <c r="Q50" i="4" a="1"/>
  <c r="Q50" i="4" s="1"/>
  <c r="P50" i="4" a="1"/>
  <c r="P50" i="4" s="1"/>
  <c r="O50" i="4" a="1"/>
  <c r="O50" i="4" s="1"/>
  <c r="M50" i="4" a="1"/>
  <c r="M50" i="4" s="1"/>
  <c r="L50" i="4" a="1"/>
  <c r="L50" i="4" s="1"/>
  <c r="K50" i="4" a="1"/>
  <c r="K50" i="4" s="1"/>
  <c r="I50" i="4" a="1"/>
  <c r="I50" i="4" s="1"/>
  <c r="H50" i="4" a="1"/>
  <c r="H50" i="4" s="1"/>
  <c r="G50" i="4" a="1"/>
  <c r="G50" i="4" s="1"/>
  <c r="Q17" i="4" a="1"/>
  <c r="Q17" i="4" s="1"/>
  <c r="P17" i="4" a="1"/>
  <c r="P17" i="4" s="1"/>
  <c r="O17" i="4" a="1"/>
  <c r="O17" i="4" s="1"/>
  <c r="M17" i="4" a="1"/>
  <c r="M17" i="4" s="1"/>
  <c r="L17" i="4" a="1"/>
  <c r="L17" i="4" s="1"/>
  <c r="K17" i="4" a="1"/>
  <c r="K17" i="4" s="1"/>
  <c r="I17" i="4" a="1"/>
  <c r="I17" i="4" s="1"/>
  <c r="H17" i="4" a="1"/>
  <c r="H17" i="4" s="1"/>
  <c r="G17" i="4" a="1"/>
  <c r="G17" i="4" s="1"/>
  <c r="V4" i="4" l="1"/>
  <c r="U4" i="4"/>
  <c r="T4" i="4"/>
  <c r="V3" i="4"/>
  <c r="U3" i="4"/>
  <c r="T3" i="4"/>
  <c r="V2" i="4"/>
  <c r="U2" i="4"/>
  <c r="N14" i="4"/>
  <c r="R32" i="4"/>
  <c r="R17" i="4"/>
  <c r="R50" i="4"/>
  <c r="J12" i="4"/>
  <c r="R24" i="4"/>
  <c r="N26" i="4"/>
  <c r="J15" i="4"/>
  <c r="R14" i="4"/>
  <c r="J44" i="4"/>
  <c r="N31" i="4"/>
  <c r="N37" i="4"/>
  <c r="N13" i="4"/>
  <c r="J14" i="4"/>
  <c r="R33" i="4"/>
  <c r="J45" i="4"/>
  <c r="J28" i="4"/>
  <c r="J50" i="4"/>
  <c r="N20" i="4"/>
  <c r="R38" i="4"/>
  <c r="J19" i="4"/>
  <c r="R21" i="4"/>
  <c r="R20" i="4"/>
  <c r="J16" i="4"/>
  <c r="R43" i="4"/>
  <c r="J25" i="4"/>
  <c r="J18" i="4"/>
  <c r="R40" i="4"/>
  <c r="R49" i="4"/>
  <c r="J22" i="4"/>
  <c r="J38" i="4"/>
  <c r="J42" i="4"/>
  <c r="R36" i="4"/>
  <c r="J20" i="4"/>
  <c r="N15" i="4"/>
  <c r="N44" i="4"/>
  <c r="N16" i="4"/>
  <c r="J43" i="4"/>
  <c r="J47" i="4"/>
  <c r="J36" i="4"/>
  <c r="J48" i="4"/>
  <c r="J40" i="4"/>
  <c r="R39" i="4"/>
  <c r="R18" i="4"/>
  <c r="J41" i="4"/>
  <c r="R45" i="4"/>
  <c r="J23" i="4"/>
  <c r="R28" i="4"/>
  <c r="J32" i="4"/>
  <c r="J31" i="4"/>
  <c r="R26" i="4"/>
  <c r="J39" i="4"/>
  <c r="J29" i="4"/>
  <c r="N48" i="4"/>
  <c r="N42" i="4"/>
  <c r="N49" i="4"/>
  <c r="N32" i="4"/>
  <c r="J37" i="4"/>
  <c r="N35" i="4"/>
  <c r="N39" i="4"/>
  <c r="N34" i="4"/>
  <c r="N19" i="4"/>
  <c r="N22" i="4"/>
  <c r="N45" i="4"/>
  <c r="N40" i="4"/>
  <c r="N47" i="4"/>
  <c r="R48" i="4"/>
  <c r="R25" i="4"/>
  <c r="J13" i="4"/>
  <c r="R12" i="4"/>
  <c r="J34" i="4"/>
  <c r="J26" i="4"/>
  <c r="R19" i="4"/>
  <c r="N27" i="4"/>
  <c r="N36" i="4"/>
  <c r="J17" i="4"/>
  <c r="R22" i="4"/>
  <c r="J35" i="4"/>
  <c r="R31" i="4"/>
  <c r="R27" i="4"/>
  <c r="N41" i="4"/>
  <c r="R46" i="4"/>
  <c r="J30" i="4"/>
  <c r="R23" i="4"/>
  <c r="N21" i="4"/>
  <c r="N25" i="4"/>
  <c r="R16" i="4"/>
  <c r="N30" i="4"/>
  <c r="N18" i="4"/>
  <c r="J27" i="4"/>
  <c r="J46" i="4"/>
  <c r="R35" i="4"/>
  <c r="J24" i="4"/>
  <c r="N29" i="4"/>
  <c r="R30" i="4"/>
  <c r="R41" i="4"/>
  <c r="R44" i="4"/>
  <c r="R37" i="4"/>
  <c r="N33" i="4"/>
  <c r="N28" i="4"/>
  <c r="R15" i="4"/>
  <c r="R29" i="4"/>
  <c r="N46" i="4"/>
  <c r="N24" i="4"/>
  <c r="R13" i="4"/>
  <c r="N50" i="4"/>
  <c r="N38" i="4"/>
  <c r="R47" i="4"/>
  <c r="N23" i="4"/>
  <c r="R42" i="4"/>
  <c r="N17" i="4"/>
  <c r="N12" i="4"/>
  <c r="R34" i="4"/>
  <c r="J33" i="4"/>
  <c r="N43" i="4"/>
  <c r="J49" i="4"/>
  <c r="J21" i="4"/>
  <c r="V14" i="4" l="1" a="1"/>
  <c r="V14" i="4" s="1"/>
  <c r="T14" i="4" a="1"/>
  <c r="T14" i="4" s="1"/>
  <c r="T50" i="4" a="1"/>
  <c r="T50" i="4" s="1"/>
  <c r="T20" i="4" a="1"/>
  <c r="T20" i="4" s="1"/>
  <c r="V16" i="4" a="1"/>
  <c r="V16" i="4" s="1"/>
  <c r="T15" i="4" a="1"/>
  <c r="T15" i="4" s="1"/>
  <c r="T43" i="4" a="1"/>
  <c r="T43" i="4" s="1"/>
  <c r="V44" i="4" a="1"/>
  <c r="V44" i="4" s="1"/>
  <c r="T18" i="4" a="1"/>
  <c r="T18" i="4" s="1"/>
  <c r="V20" i="4" a="1"/>
  <c r="V20" i="4" s="1"/>
  <c r="V38" i="4" a="1"/>
  <c r="V38" i="4" s="1"/>
  <c r="T36" i="4" a="1"/>
  <c r="T36" i="4" s="1"/>
  <c r="T40" i="4" a="1"/>
  <c r="T40" i="4" s="1"/>
  <c r="T32" i="4" a="1"/>
  <c r="T32" i="4" s="1"/>
  <c r="V45" i="4" a="1"/>
  <c r="V45" i="4" s="1"/>
  <c r="T23" i="4" a="1"/>
  <c r="T23" i="4" s="1"/>
  <c r="T22" i="4" a="1"/>
  <c r="T22" i="4" s="1"/>
  <c r="V39" i="4" a="1"/>
  <c r="V39" i="4" s="1"/>
  <c r="V47" i="4" a="1"/>
  <c r="V47" i="4" s="1"/>
  <c r="V36" i="4" a="1"/>
  <c r="V36" i="4" s="1"/>
  <c r="T29" i="4" a="1"/>
  <c r="T29" i="4" s="1"/>
  <c r="V31" i="4" a="1"/>
  <c r="V31" i="4" s="1"/>
  <c r="V26" i="4" a="1"/>
  <c r="V26" i="4" s="1"/>
  <c r="V28" i="4" a="1"/>
  <c r="V28" i="4" s="1"/>
  <c r="T31" i="4" a="1"/>
  <c r="T31" i="4" s="1"/>
  <c r="T25" i="4" a="1"/>
  <c r="T25" i="4" s="1"/>
  <c r="T12" i="4" a="1"/>
  <c r="T12" i="4" s="1"/>
  <c r="V17" i="4" a="1"/>
  <c r="V17" i="4" s="1"/>
  <c r="V19" i="4" a="1"/>
  <c r="V19" i="4" s="1"/>
  <c r="V32" i="4" a="1"/>
  <c r="V32" i="4" s="1"/>
  <c r="V34" i="4" a="1"/>
  <c r="V34" i="4" s="1"/>
  <c r="V37" i="4" a="1"/>
  <c r="V37" i="4" s="1"/>
  <c r="V25" i="4" a="1"/>
  <c r="V25" i="4" s="1"/>
  <c r="T41" i="4" a="1"/>
  <c r="T41" i="4" s="1"/>
  <c r="T42" i="4" a="1"/>
  <c r="T42" i="4" s="1"/>
  <c r="T44" i="4" a="1"/>
  <c r="T44" i="4" s="1"/>
  <c r="T39" i="4" a="1"/>
  <c r="T39" i="4" s="1"/>
  <c r="V12" i="4" a="1"/>
  <c r="V12" i="4" s="1"/>
  <c r="V48" i="4" a="1"/>
  <c r="V48" i="4" s="1"/>
  <c r="V29" i="4" a="1"/>
  <c r="V29" i="4" s="1"/>
  <c r="T19" i="4" a="1"/>
  <c r="T19" i="4" s="1"/>
  <c r="T26" i="4" a="1"/>
  <c r="T26" i="4" s="1"/>
  <c r="T34" i="4" a="1"/>
  <c r="T34" i="4" s="1"/>
  <c r="V40" i="4" a="1"/>
  <c r="V40" i="4" s="1"/>
  <c r="V22" i="4" a="1"/>
  <c r="V22" i="4" s="1"/>
  <c r="T13" i="4" a="1"/>
  <c r="T13" i="4" s="1"/>
  <c r="T45" i="4" a="1"/>
  <c r="T45" i="4" s="1"/>
  <c r="V43" i="4" a="1"/>
  <c r="V43" i="4" s="1"/>
  <c r="T48" i="4" a="1"/>
  <c r="T48" i="4" s="1"/>
  <c r="V41" i="4" a="1"/>
  <c r="V41" i="4" s="1"/>
  <c r="V46" i="4" a="1"/>
  <c r="V46" i="4" s="1"/>
  <c r="T46" i="4" a="1"/>
  <c r="T46" i="4" s="1"/>
  <c r="V42" i="4" a="1"/>
  <c r="V42" i="4" s="1"/>
  <c r="T27" i="4" a="1"/>
  <c r="T27" i="4" s="1"/>
  <c r="V27" i="4" a="1"/>
  <c r="V27" i="4" s="1"/>
  <c r="V23" i="4" a="1"/>
  <c r="V23" i="4" s="1"/>
  <c r="V15" i="4" a="1"/>
  <c r="V15" i="4" s="1"/>
  <c r="T28" i="4" a="1"/>
  <c r="T28" i="4" s="1"/>
  <c r="V50" i="4" a="1"/>
  <c r="V50" i="4" s="1"/>
  <c r="T47" i="4" a="1"/>
  <c r="T47" i="4" s="1"/>
  <c r="T17" i="4" a="1"/>
  <c r="T17" i="4" s="1"/>
  <c r="V21" i="4" a="1"/>
  <c r="V21" i="4" s="1"/>
  <c r="T21" i="4" a="1"/>
  <c r="T21" i="4" s="1"/>
  <c r="V18" i="4" a="1"/>
  <c r="V18" i="4" s="1"/>
  <c r="V24" i="4" a="1"/>
  <c r="V24" i="4" s="1"/>
  <c r="T24" i="4" a="1"/>
  <c r="T24" i="4" s="1"/>
  <c r="V13" i="4" a="1"/>
  <c r="V13" i="4" s="1"/>
  <c r="T37" i="4" a="1"/>
  <c r="T37" i="4" s="1"/>
  <c r="T16" i="4" a="1"/>
  <c r="T16" i="4" s="1"/>
  <c r="V30" i="4" a="1"/>
  <c r="V30" i="4" s="1"/>
  <c r="T30" i="4" a="1"/>
  <c r="T30" i="4" s="1"/>
  <c r="T38" i="4" a="1"/>
  <c r="T38" i="4" s="1"/>
  <c r="T49" i="4" a="1"/>
  <c r="T49" i="4" s="1"/>
  <c r="V49" i="4" a="1"/>
  <c r="V49" i="4" s="1"/>
  <c r="T35" i="4" a="1"/>
  <c r="T35" i="4" s="1"/>
  <c r="V35" i="4" a="1"/>
  <c r="V35" i="4" s="1"/>
  <c r="V33" i="4" a="1"/>
  <c r="V33" i="4" s="1"/>
  <c r="T33" i="4" a="1"/>
  <c r="T33" i="4" s="1"/>
  <c r="W27" i="4" l="1" a="1"/>
  <c r="W27" i="4" s="1"/>
  <c r="X27" i="4" s="1"/>
  <c r="W12" i="4" a="1"/>
  <c r="W12" i="4" s="1"/>
  <c r="X12" i="4" s="1"/>
  <c r="W46" i="4" a="1"/>
  <c r="W46" i="4" s="1"/>
  <c r="X46" i="4" s="1"/>
  <c r="W25" i="4" a="1"/>
  <c r="W25" i="4" s="1"/>
  <c r="X25" i="4" s="1"/>
  <c r="W43" i="4" a="1"/>
  <c r="W43" i="4" s="1"/>
  <c r="X43" i="4" s="1"/>
  <c r="W22" i="4" a="1"/>
  <c r="W22" i="4" s="1"/>
  <c r="X22" i="4" s="1"/>
  <c r="W35" i="4" a="1"/>
  <c r="W35" i="4" s="1"/>
  <c r="X35" i="4" s="1"/>
  <c r="W38" i="4" a="1"/>
  <c r="W38" i="4" s="1"/>
  <c r="X38" i="4" s="1"/>
  <c r="W31" i="4" a="1"/>
  <c r="W31" i="4" s="1"/>
  <c r="X31" i="4" s="1"/>
  <c r="W16" i="4" a="1"/>
  <c r="W16" i="4" s="1"/>
  <c r="X16" i="4" s="1"/>
  <c r="W39" i="4" a="1"/>
  <c r="W39" i="4" s="1"/>
  <c r="X39" i="4" s="1"/>
  <c r="W34" i="4" a="1"/>
  <c r="W34" i="4" s="1"/>
  <c r="X34" i="4" s="1"/>
  <c r="W33" i="4" a="1"/>
  <c r="W33" i="4" s="1"/>
  <c r="X33" i="4" s="1"/>
  <c r="W40" i="4" a="1"/>
  <c r="W40" i="4" s="1"/>
  <c r="X40" i="4" s="1"/>
  <c r="W49" i="4" a="1"/>
  <c r="W49" i="4" s="1"/>
  <c r="X49" i="4" s="1"/>
  <c r="W20" i="4" a="1"/>
  <c r="W20" i="4" s="1"/>
  <c r="X20" i="4" s="1"/>
  <c r="W48" i="4" a="1"/>
  <c r="W48" i="4" s="1"/>
  <c r="X48" i="4" s="1"/>
  <c r="W42" i="4" a="1"/>
  <c r="W42" i="4" s="1"/>
  <c r="X42" i="4" s="1"/>
  <c r="W47" i="4" a="1"/>
  <c r="W47" i="4" s="1"/>
  <c r="X47" i="4" s="1"/>
  <c r="W41" i="4" a="1"/>
  <c r="W41" i="4" s="1"/>
  <c r="X41" i="4" s="1"/>
  <c r="W24" i="4" a="1"/>
  <c r="W24" i="4" s="1"/>
  <c r="X24" i="4" s="1"/>
  <c r="W14" i="4" a="1"/>
  <c r="W14" i="4" s="1"/>
  <c r="X14" i="4" s="1"/>
  <c r="W45" i="4" a="1"/>
  <c r="W45" i="4" s="1"/>
  <c r="X45" i="4" s="1"/>
  <c r="W32" i="4" a="1"/>
  <c r="W32" i="4" s="1"/>
  <c r="X32" i="4" s="1"/>
  <c r="W15" i="4" a="1"/>
  <c r="W15" i="4" s="1"/>
  <c r="X15" i="4" s="1"/>
  <c r="W26" i="4" a="1"/>
  <c r="W26" i="4" s="1"/>
  <c r="X26" i="4" s="1"/>
  <c r="W30" i="4" a="1"/>
  <c r="W30" i="4" s="1"/>
  <c r="X30" i="4" s="1"/>
  <c r="W36" i="4" a="1"/>
  <c r="W36" i="4" s="1"/>
  <c r="X36" i="4" s="1"/>
  <c r="W13" i="4" a="1"/>
  <c r="W13" i="4" s="1"/>
  <c r="X13" i="4" s="1"/>
  <c r="W37" i="4" a="1"/>
  <c r="W37" i="4" s="1"/>
  <c r="X37" i="4" s="1"/>
  <c r="W21" i="4" a="1"/>
  <c r="W21" i="4" s="1"/>
  <c r="X21" i="4" s="1"/>
  <c r="W19" i="4" a="1"/>
  <c r="W19" i="4" s="1"/>
  <c r="X19" i="4" s="1"/>
  <c r="W17" i="4" a="1"/>
  <c r="W17" i="4" s="1"/>
  <c r="X17" i="4" s="1"/>
  <c r="W50" i="4" a="1"/>
  <c r="W50" i="4" s="1"/>
  <c r="X50" i="4" s="1"/>
  <c r="W23" i="4" a="1"/>
  <c r="W23" i="4" s="1"/>
  <c r="X23" i="4" s="1"/>
  <c r="W29" i="4" a="1"/>
  <c r="W29" i="4" s="1"/>
  <c r="X29" i="4" s="1"/>
  <c r="W28" i="4" a="1"/>
  <c r="W28" i="4" s="1"/>
  <c r="X28" i="4" s="1"/>
  <c r="W44" i="4" a="1"/>
  <c r="W44" i="4" s="1"/>
  <c r="X44" i="4" s="1"/>
  <c r="W18" i="4" a="1"/>
  <c r="W18" i="4" s="1"/>
  <c r="X18" i="4" s="1"/>
  <c r="X10" i="4" l="1"/>
  <c r="R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1" authorId="0" shapeId="0" xr:uid="{53BBB350-B4ED-CA49-B8CC-6D985D07ADBB}">
      <text>
        <r>
          <rPr>
            <sz val="11"/>
            <color rgb="FF000000"/>
            <rFont val="Aptos Narrow"/>
            <family val="2"/>
          </rPr>
          <t>Po odwołaniu</t>
        </r>
      </text>
    </comment>
    <comment ref="D11" authorId="0" shapeId="0" xr:uid="{AC66E9CD-618C-8D4A-81DA-6A8DB3B0383E}">
      <text>
        <r>
          <rPr>
            <sz val="11"/>
            <color rgb="FF000000"/>
            <rFont val="Aptos Narrow"/>
            <family val="2"/>
          </rPr>
          <t>Po odwołaniu</t>
        </r>
      </text>
    </comment>
    <comment ref="E11" authorId="0" shapeId="0" xr:uid="{6E4B30C3-3ADB-F044-B526-78028639B057}">
      <text>
        <r>
          <rPr>
            <sz val="11"/>
            <color rgb="FF000000"/>
            <rFont val="Aptos Narrow"/>
            <family val="2"/>
          </rPr>
          <t>Po odwołaniu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<sst xmlns="http://schemas.openxmlformats.org/spreadsheetml/2006/main" count="165" uniqueCount="82">
  <si>
    <t>N</t>
  </si>
  <si>
    <t>B</t>
  </si>
  <si>
    <t>P1A</t>
  </si>
  <si>
    <t>P2A</t>
  </si>
  <si>
    <t>P3A</t>
  </si>
  <si>
    <t>VA</t>
  </si>
  <si>
    <t>P1B</t>
  </si>
  <si>
    <t>P2B</t>
  </si>
  <si>
    <t>P3B</t>
  </si>
  <si>
    <t>VB</t>
  </si>
  <si>
    <t>A</t>
  </si>
  <si>
    <t>C</t>
  </si>
  <si>
    <t>R1</t>
  </si>
  <si>
    <t>R2</t>
  </si>
  <si>
    <t>R3</t>
  </si>
  <si>
    <t>B+</t>
  </si>
  <si>
    <t>W</t>
  </si>
  <si>
    <t>G</t>
  </si>
  <si>
    <t>P1B+</t>
  </si>
  <si>
    <t>P2B+</t>
  </si>
  <si>
    <t>P3B+</t>
  </si>
  <si>
    <t>VB+</t>
  </si>
  <si>
    <t>Institution</t>
  </si>
  <si>
    <t>Discipline</t>
  </si>
  <si>
    <t>C1</t>
  </si>
  <si>
    <t>C2</t>
  </si>
  <si>
    <t>C3</t>
  </si>
  <si>
    <t>Numeric decision</t>
  </si>
  <si>
    <t>Original reference values:</t>
  </si>
  <si>
    <t>Desired decision</t>
  </si>
  <si>
    <t>Error</t>
  </si>
  <si>
    <t>Total error</t>
  </si>
  <si>
    <t>Category</t>
  </si>
  <si>
    <t>Desired category</t>
  </si>
  <si>
    <t>Manual:</t>
  </si>
  <si>
    <t>2. Run Data -&gt; Solver -&gt; Solve</t>
  </si>
  <si>
    <t>3. Use the original reference values to reset</t>
  </si>
  <si>
    <t>Diff</t>
  </si>
  <si>
    <t>Objective</t>
  </si>
  <si>
    <t>information and communication technology</t>
  </si>
  <si>
    <t>This file requires Microsoft Excel desktop app.</t>
  </si>
  <si>
    <t>IBCH PAN</t>
  </si>
  <si>
    <t>AGH UST</t>
  </si>
  <si>
    <t>TUL</t>
  </si>
  <si>
    <t>PJATK</t>
  </si>
  <si>
    <t>SRI PAS</t>
  </si>
  <si>
    <t>MCI</t>
  </si>
  <si>
    <t>NASK</t>
  </si>
  <si>
    <t>ITAI PAS</t>
  </si>
  <si>
    <t>WUT</t>
  </si>
  <si>
    <t>ICS PAS</t>
  </si>
  <si>
    <t>IPPT PAN</t>
  </si>
  <si>
    <t>PUT</t>
  </si>
  <si>
    <t>LUT</t>
  </si>
  <si>
    <t>SAN University</t>
  </si>
  <si>
    <t>WSEI University</t>
  </si>
  <si>
    <t>UR</t>
  </si>
  <si>
    <t>CUT</t>
  </si>
  <si>
    <t>ZUT</t>
  </si>
  <si>
    <t>OPI PIB</t>
  </si>
  <si>
    <t>NIT</t>
  </si>
  <si>
    <t>UZ</t>
  </si>
  <si>
    <t>BUST</t>
  </si>
  <si>
    <t>GUT</t>
  </si>
  <si>
    <t>UKEN</t>
  </si>
  <si>
    <t>OUTech</t>
  </si>
  <si>
    <t>WUST</t>
  </si>
  <si>
    <t>PRz</t>
  </si>
  <si>
    <t>WAT</t>
  </si>
  <si>
    <t>UJ</t>
  </si>
  <si>
    <t>BUT</t>
  </si>
  <si>
    <t>SUT</t>
  </si>
  <si>
    <t>UKSW</t>
  </si>
  <si>
    <t>UKW</t>
  </si>
  <si>
    <t>UBB</t>
  </si>
  <si>
    <t>SGGW</t>
  </si>
  <si>
    <t>MCSU</t>
  </si>
  <si>
    <t>UITM</t>
  </si>
  <si>
    <t>AJP</t>
  </si>
  <si>
    <t>Initial category</t>
  </si>
  <si>
    <t>1. Set the desired categories in the Desired category column; leave cell empty if unspecified</t>
  </si>
  <si>
    <t>Calculated reference values: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</si>
</sst>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</font>
    <font>
      <sz val="11"/>
      <color indexed="8"/>
      <name val="Aptos Narrow"/>
      <family val="2"/>
      <scheme val="minor"/>
    </font>
    <font>
      <b/>
      <sz val="11"/>
      <color rgb="FFC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0" fontId="3" fillId="2" borderId="0" xfId="0" applyFont="1" applyFill="1"/>
    <xf numFmtId="9" fontId="0" fillId="0" borderId="0" xfId="1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C2293-6491-0942-BF50-94BA815BECB9}">
  <sheetPr codeName="Arkusz1"/>
  <dimension ref="A1:X66"/>
  <sheetViews>
    <sheetView tabSelected="1" workbookViewId="0"/>
  </sheetViews>
  <sheetFormatPr baseColWidth="10" defaultRowHeight="15" x14ac:dyDescent="0.2"/>
  <cols>
    <col min="1" max="1" width="67.5" customWidth="1"/>
    <col min="2" max="2" width="25.5" customWidth="1"/>
    <col min="6" max="6" width="10.83203125" customWidth="1"/>
    <col min="7" max="9" width="10.83203125" hidden="1" customWidth="1"/>
    <col min="10" max="10" width="10.83203125" customWidth="1"/>
    <col min="11" max="12" width="10.83203125" hidden="1" customWidth="1"/>
    <col min="13" max="13" width="0" hidden="1" customWidth="1"/>
    <col min="14" max="14" width="10.83203125" customWidth="1"/>
    <col min="15" max="16" width="10.83203125" hidden="1" customWidth="1"/>
    <col min="17" max="17" width="0" hidden="1" customWidth="1"/>
    <col min="21" max="22" width="10.83203125" customWidth="1"/>
  </cols>
  <sheetData>
    <row r="1" spans="1:24" x14ac:dyDescent="0.2">
      <c r="A1" s="3" t="s">
        <v>34</v>
      </c>
      <c r="C1" t="s">
        <v>12</v>
      </c>
      <c r="D1" t="s">
        <v>13</v>
      </c>
      <c r="E1" t="s">
        <v>14</v>
      </c>
      <c r="T1" t="s">
        <v>37</v>
      </c>
    </row>
    <row r="2" spans="1:24" x14ac:dyDescent="0.2">
      <c r="A2" s="3" t="s">
        <v>80</v>
      </c>
      <c r="B2" t="s">
        <v>28</v>
      </c>
      <c r="C2" s="2">
        <v>311.108</v>
      </c>
      <c r="D2" s="2">
        <v>29.187999999999999</v>
      </c>
      <c r="E2" s="2">
        <v>75.873000000000005</v>
      </c>
      <c r="T2" s="5">
        <f t="array" ref="T2:V4">(C7:E9-C2:E4)/C2:E4</f>
        <v>1.9735911127771691E-2</v>
      </c>
      <c r="U2" s="5">
        <v>-0.58407005034566251</v>
      </c>
      <c r="V2" s="5">
        <v>-1.2540393358810334E-2</v>
      </c>
    </row>
    <row r="3" spans="1:24" x14ac:dyDescent="0.2">
      <c r="A3" s="3" t="s">
        <v>35</v>
      </c>
      <c r="C3" s="2">
        <v>209.73599999999999</v>
      </c>
      <c r="D3" s="2">
        <v>19.677</v>
      </c>
      <c r="E3" s="2">
        <v>51.15</v>
      </c>
      <c r="T3" s="5">
        <v>0.50667202722292737</v>
      </c>
      <c r="U3" s="5">
        <v>-0.39254959733739059</v>
      </c>
      <c r="V3" s="5">
        <v>2.5856934681634395E-3</v>
      </c>
    </row>
    <row r="4" spans="1:24" x14ac:dyDescent="0.2">
      <c r="A4" s="3" t="s">
        <v>36</v>
      </c>
      <c r="C4" s="2">
        <v>139.82400000000001</v>
      </c>
      <c r="D4" s="2">
        <v>13.118</v>
      </c>
      <c r="E4" s="2">
        <v>34.1</v>
      </c>
      <c r="T4" s="5">
        <v>2.9145733838442378E-3</v>
      </c>
      <c r="U4" s="5">
        <v>-0.1025975392203146</v>
      </c>
      <c r="V4" s="5">
        <v>-1.9908730779541855E-4</v>
      </c>
    </row>
    <row r="5" spans="1:24" x14ac:dyDescent="0.2">
      <c r="A5" s="4" t="s">
        <v>40</v>
      </c>
      <c r="B5" t="s">
        <v>17</v>
      </c>
      <c r="C5" s="1">
        <v>0.3000490904815904</v>
      </c>
    </row>
    <row r="6" spans="1:24" x14ac:dyDescent="0.2">
      <c r="B6" t="s">
        <v>81</v>
      </c>
      <c r="C6" t="s">
        <v>12</v>
      </c>
      <c r="D6" t="s">
        <v>13</v>
      </c>
      <c r="E6" t="s">
        <v>14</v>
      </c>
      <c r="N6" t="s">
        <v>37</v>
      </c>
      <c r="R6" t="s">
        <v>38</v>
      </c>
    </row>
    <row r="7" spans="1:24" x14ac:dyDescent="0.2">
      <c r="B7" t="s">
        <v>10</v>
      </c>
      <c r="C7" s="2">
        <v>317.2479998391388</v>
      </c>
      <c r="D7" s="2">
        <v>12.1401633705108</v>
      </c>
      <c r="E7" s="2">
        <v>74.921522734686988</v>
      </c>
      <c r="N7" s="2" cm="1">
        <f t="array" ref="N7">(SUM(ABS(C7:E9-C2:E4)/C2:E4)+ABS(C5-0.3)/0.3)/COUNT(C2:E5)</f>
        <v>0.16240285077113151</v>
      </c>
      <c r="R7" s="2">
        <f>N7+X10</f>
        <v>0.16240285077113151</v>
      </c>
      <c r="S7" s="2"/>
    </row>
    <row r="8" spans="1:24" x14ac:dyDescent="0.2">
      <c r="B8" t="s">
        <v>15</v>
      </c>
      <c r="C8" s="2">
        <v>316.00336430162787</v>
      </c>
      <c r="D8" s="2">
        <v>11.952801573192165</v>
      </c>
      <c r="E8" s="2">
        <v>51.282258220896558</v>
      </c>
    </row>
    <row r="9" spans="1:24" x14ac:dyDescent="0.2">
      <c r="B9" t="s">
        <v>1</v>
      </c>
      <c r="C9" s="2">
        <v>140.23152730882265</v>
      </c>
      <c r="D9" s="2">
        <v>11.772125480507913</v>
      </c>
      <c r="E9" s="2">
        <v>34.093211122804178</v>
      </c>
      <c r="X9" t="s">
        <v>31</v>
      </c>
    </row>
    <row r="10" spans="1:24" x14ac:dyDescent="0.2">
      <c r="B10" t="s">
        <v>16</v>
      </c>
      <c r="C10" s="2">
        <v>50</v>
      </c>
      <c r="D10" s="2">
        <v>35</v>
      </c>
      <c r="E10" s="2">
        <v>15</v>
      </c>
      <c r="X10" s="1">
        <f>SUM(X12:X66)</f>
        <v>0</v>
      </c>
    </row>
    <row r="11" spans="1:24" x14ac:dyDescent="0.2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 t="s">
        <v>0</v>
      </c>
      <c r="G11" t="s">
        <v>2</v>
      </c>
      <c r="H11" t="s">
        <v>3</v>
      </c>
      <c r="I11" t="s">
        <v>4</v>
      </c>
      <c r="J11" t="s">
        <v>5</v>
      </c>
      <c r="K11" t="s">
        <v>18</v>
      </c>
      <c r="L11" t="s">
        <v>19</v>
      </c>
      <c r="M11" t="s">
        <v>20</v>
      </c>
      <c r="N11" t="s">
        <v>21</v>
      </c>
      <c r="O11" t="s">
        <v>6</v>
      </c>
      <c r="P11" t="s">
        <v>7</v>
      </c>
      <c r="Q11" t="s">
        <v>8</v>
      </c>
      <c r="R11" t="s">
        <v>9</v>
      </c>
      <c r="S11" t="s">
        <v>79</v>
      </c>
      <c r="T11" t="s">
        <v>32</v>
      </c>
      <c r="U11" s="3" t="s">
        <v>33</v>
      </c>
      <c r="V11" t="s">
        <v>27</v>
      </c>
      <c r="W11" t="s">
        <v>29</v>
      </c>
      <c r="X11" t="s">
        <v>30</v>
      </c>
    </row>
    <row r="12" spans="1:24" x14ac:dyDescent="0.2">
      <c r="A12" t="s">
        <v>51</v>
      </c>
      <c r="B12" t="s">
        <v>39</v>
      </c>
      <c r="C12" s="1">
        <v>412.83</v>
      </c>
      <c r="D12" s="1">
        <v>18.25</v>
      </c>
      <c r="E12" s="1">
        <v>66</v>
      </c>
      <c r="F12" s="1">
        <v>14.65</v>
      </c>
      <c r="G12" s="1" cm="1">
        <f t="array" ref="G12">_xlfn.IFS(C12&lt;=C$7/(1+$C$5),-1,C12&lt;=C$7*(1+$C$5),2*((1+$C$5)*C12-C$7)/($C$5*(C$7+C12))-1,TRUE,1)</f>
        <v>1</v>
      </c>
      <c r="H12" s="1" cm="1">
        <f t="array" ref="H12">_xlfn.IFS(D12&lt;=D$7/(1+$C$5),-1,D12&lt;=D$7*(1+$C$5),2*((1+$C$5)*D12-D$7)/($C$5*(D$7+D12))-1,TRUE,1)</f>
        <v>1</v>
      </c>
      <c r="I12" s="1" cm="1">
        <f t="array" ref="I12">_xlfn.IFS(E12&lt;=E$7/(1+$C$5),-1,E12&lt;=E$7*(1+$C$5),2*((1+$C$5)*E12-E$7)/($C$5*(E$7+E12))-1,TRUE,1)</f>
        <v>-0.48529570746621453</v>
      </c>
      <c r="J12" s="1">
        <f t="shared" ref="J12:J50" si="0">SUMPRODUCT($C$10:$E$10,G12:I12)</f>
        <v>77.720564388006778</v>
      </c>
      <c r="K12" s="1" cm="1">
        <f t="array" ref="K12">_xlfn.IFS(C12&lt;=C$8/(1+$C$5),-1,C12&lt;=C$8*(1+$C$5),2*((1+$C$5)*C12-C$8)/($C$5*(C$8+C12))-1,TRUE,1)</f>
        <v>1</v>
      </c>
      <c r="L12" s="1" cm="1">
        <f t="array" ref="L12">_xlfn.IFS(D12&lt;=D$8/(1+$C$5),-1,D12&lt;=D$8*(1+$C$5),2*((1+$C$5)*D12-D$8)/($C$5*(D$8+D12))-1,TRUE,1)</f>
        <v>1</v>
      </c>
      <c r="M12" s="1" cm="1">
        <f t="array" ref="M12">_xlfn.IFS(E12&lt;=E$8/(1+$C$5),-1,E12&lt;=E$8*(1+$C$5),2*((1+$C$5)*E12-E$8)/($C$5*(E$8+E12))-1,TRUE,1)</f>
        <v>0.96195254991002788</v>
      </c>
      <c r="N12" s="1">
        <f t="shared" ref="N12:N50" si="1">SUMPRODUCT($C$10:$E$10,K12:M12)</f>
        <v>99.429288248650423</v>
      </c>
      <c r="O12" s="1" cm="1">
        <f t="array" ref="O12">_xlfn.IFS(C12&lt;=C$9/(1+$C$5),-1,C12&lt;=C$9*(1+$C$5),2*((1+$C$5)*C12-C$9)/($C$5*(C$9+C12))-1,TRUE,1)</f>
        <v>1</v>
      </c>
      <c r="P12" s="1" cm="1">
        <f t="array" ref="P12">_xlfn.IFS(D12&lt;=D$9/(1+$C$5),-1,D12&lt;=D$9*(1+$C$5),2*((1+$C$5)*D12-D$9)/($C$5*(D$9+D12))-1,TRUE,1)</f>
        <v>1</v>
      </c>
      <c r="Q12" s="1" cm="1">
        <f t="array" ref="Q12">_xlfn.IFS(E12&lt;=E$9/(1+$C$5),-1,E12&lt;=E$9*(1+$C$5),2*((1+$C$5)*E12-E$9)/($C$5*(E$9+E12))-1,TRUE,1)</f>
        <v>1</v>
      </c>
      <c r="R12" s="1">
        <f t="shared" ref="R12:R50" si="2">SUMPRODUCT($C$10:$E$10,O12:Q12)</f>
        <v>100</v>
      </c>
      <c r="S12" s="1" t="s">
        <v>10</v>
      </c>
      <c r="T12" t="str" cm="1">
        <f t="array" ref="T12">_xlfn.IFS(J12&gt;=0,"A",N12&gt;=0,"B+",R12&gt;=0,"B",TRUE,"C")</f>
        <v>A</v>
      </c>
      <c r="U12" s="3"/>
      <c r="V12" cm="1">
        <f t="array" ref="V12">_xlfn.IFS(J12&gt;=0,1,N12&gt;=0,2,R12&gt;=0,3,TRUE,4)</f>
        <v>1</v>
      </c>
      <c r="W12" cm="1">
        <f t="array" ref="W12">_xlfn.IFS(U12="",V12,U12="A",1,U12="B+",2,U12="B",3,TRUE,4)</f>
        <v>1</v>
      </c>
      <c r="X12" s="1">
        <f t="shared" ref="X12:X50" si="3">ABS(V12-W12)^1.5</f>
        <v>0</v>
      </c>
    </row>
    <row r="13" spans="1:24" x14ac:dyDescent="0.2">
      <c r="A13" t="s">
        <v>50</v>
      </c>
      <c r="B13" t="s">
        <v>39</v>
      </c>
      <c r="C13" s="1">
        <v>390.42</v>
      </c>
      <c r="D13" s="1">
        <v>17.91</v>
      </c>
      <c r="E13" s="1">
        <v>78</v>
      </c>
      <c r="F13" s="1">
        <v>35.61</v>
      </c>
      <c r="G13" s="1" cm="1">
        <f t="array" ref="G13">_xlfn.IFS(C13&lt;=C$7/(1+$C$5),-1,C13&lt;=C$7*(1+$C$5),2*((1+$C$5)*C13-C$7)/($C$5*(C$7+C13))-1,TRUE,1)</f>
        <v>0.792611117711705</v>
      </c>
      <c r="H13" s="1" cm="1">
        <f t="array" ref="H13">_xlfn.IFS(D13&lt;=D$7/(1+$C$5),-1,D13&lt;=D$7*(1+$C$5),2*((1+$C$5)*D13-D$7)/($C$5*(D$7+D13))-1,TRUE,1)</f>
        <v>1</v>
      </c>
      <c r="I13" s="1" cm="1">
        <f t="array" ref="I13">_xlfn.IFS(E13&lt;=E$7/(1+$C$5),-1,E13&lt;=E$7*(1+$C$5),2*((1+$C$5)*E13-E$7)/($C$5*(E$7+E13))-1,TRUE,1)</f>
        <v>0.15431641571387011</v>
      </c>
      <c r="J13" s="1">
        <f t="shared" si="0"/>
        <v>76.945302121293309</v>
      </c>
      <c r="K13" s="1" cm="1">
        <f t="array" ref="K13">_xlfn.IFS(C13&lt;=C$8/(1+$C$5),-1,C13&lt;=C$8*(1+$C$5),2*((1+$C$5)*C13-C$8)/($C$5*(C$8+C13))-1,TRUE,1)</f>
        <v>0.80751345635712268</v>
      </c>
      <c r="L13" s="1" cm="1">
        <f t="array" ref="L13">_xlfn.IFS(D13&lt;=D$8/(1+$C$5),-1,D13&lt;=D$8*(1+$C$5),2*((1+$C$5)*D13-D$8)/($C$5*(D$8+D13))-1,TRUE,1)</f>
        <v>1</v>
      </c>
      <c r="M13" s="1" cm="1">
        <f t="array" ref="M13">_xlfn.IFS(E13&lt;=E$8/(1+$C$5),-1,E13&lt;=E$8*(1+$C$5),2*((1+$C$5)*E13-E$8)/($C$5*(E$8+E13))-1,TRUE,1)</f>
        <v>1</v>
      </c>
      <c r="N13" s="1">
        <f t="shared" si="1"/>
        <v>90.375672817856127</v>
      </c>
      <c r="O13" s="1" cm="1">
        <f t="array" ref="O13">_xlfn.IFS(C13&lt;=C$9/(1+$C$5),-1,C13&lt;=C$9*(1+$C$5),2*((1+$C$5)*C13-C$9)/($C$5*(C$9+C13))-1,TRUE,1)</f>
        <v>1</v>
      </c>
      <c r="P13" s="1" cm="1">
        <f t="array" ref="P13">_xlfn.IFS(D13&lt;=D$9/(1+$C$5),-1,D13&lt;=D$9*(1+$C$5),2*((1+$C$5)*D13-D$9)/($C$5*(D$9+D13))-1,TRUE,1)</f>
        <v>1</v>
      </c>
      <c r="Q13" s="1" cm="1">
        <f t="array" ref="Q13">_xlfn.IFS(E13&lt;=E$9/(1+$C$5),-1,E13&lt;=E$9*(1+$C$5),2*((1+$C$5)*E13-E$9)/($C$5*(E$9+E13))-1,TRUE,1)</f>
        <v>1</v>
      </c>
      <c r="R13" s="1">
        <f t="shared" si="2"/>
        <v>100</v>
      </c>
      <c r="S13" s="1" t="s">
        <v>10</v>
      </c>
      <c r="T13" t="str" cm="1">
        <f t="array" ref="T13">_xlfn.IFS(J13&gt;=0,"A",N13&gt;=0,"B+",R13&gt;=0,"B",TRUE,"C")</f>
        <v>A</v>
      </c>
      <c r="U13" s="3"/>
      <c r="V13" cm="1">
        <f t="array" ref="V13">_xlfn.IFS(J13&gt;=0,1,N13&gt;=0,2,R13&gt;=0,3,TRUE,4)</f>
        <v>1</v>
      </c>
      <c r="W13" cm="1">
        <f t="array" ref="W13">_xlfn.IFS(U13="",V13,U13="A",1,U13="B+",2,U13="B",3,TRUE,4)</f>
        <v>1</v>
      </c>
      <c r="X13" s="1">
        <f t="shared" si="3"/>
        <v>0</v>
      </c>
    </row>
    <row r="14" spans="1:24" x14ac:dyDescent="0.2">
      <c r="A14" t="s">
        <v>41</v>
      </c>
      <c r="B14" t="s">
        <v>39</v>
      </c>
      <c r="C14" s="1">
        <v>387.96</v>
      </c>
      <c r="D14" s="1">
        <v>518.4</v>
      </c>
      <c r="E14" s="1">
        <v>70</v>
      </c>
      <c r="F14" s="1">
        <v>11.46</v>
      </c>
      <c r="G14" s="1" cm="1">
        <f t="array" ref="G14">_xlfn.IFS(C14&lt;=C$7/(1+$C$5),-1,C14&lt;=C$7*(1+$C$5),2*((1+$C$5)*C14-C$7)/($C$5*(C$7+C14))-1,TRUE,1)</f>
        <v>0.76863593098615279</v>
      </c>
      <c r="H14" s="1" cm="1">
        <f t="array" ref="H14">_xlfn.IFS(D14&lt;=D$7/(1+$C$5),-1,D14&lt;=D$7*(1+$C$5),2*((1+$C$5)*D14-D$7)/($C$5*(D$7+D14))-1,TRUE,1)</f>
        <v>1</v>
      </c>
      <c r="I14" s="1" cm="1">
        <f t="array" ref="I14">_xlfn.IFS(E14&lt;=E$7/(1+$C$5),-1,E14&lt;=E$7*(1+$C$5),2*((1+$C$5)*E14-E$7)/($C$5*(E$7+E14))-1,TRUE,1)</f>
        <v>-0.26032231499243685</v>
      </c>
      <c r="J14" s="1">
        <f t="shared" si="0"/>
        <v>69.526961824421093</v>
      </c>
      <c r="K14" s="1" cm="1">
        <f t="array" ref="K14">_xlfn.IFS(C14&lt;=C$8/(1+$C$5),-1,C14&lt;=C$8*(1+$C$5),2*((1+$C$5)*C14-C$8)/($C$5*(C$8+C14))-1,TRUE,1)</f>
        <v>0.78354795676018596</v>
      </c>
      <c r="L14" s="1" cm="1">
        <f t="array" ref="L14">_xlfn.IFS(D14&lt;=D$8/(1+$C$5),-1,D14&lt;=D$8*(1+$C$5),2*((1+$C$5)*D14-D$8)/($C$5*(D$8+D14))-1,TRUE,1)</f>
        <v>1</v>
      </c>
      <c r="M14" s="1" cm="1">
        <f t="array" ref="M14">_xlfn.IFS(E14&lt;=E$8/(1+$C$5),-1,E14&lt;=E$8*(1+$C$5),2*((1+$C$5)*E14-E$8)/($C$5*(E$8+E14))-1,TRUE,1)</f>
        <v>1</v>
      </c>
      <c r="N14" s="1">
        <f t="shared" si="1"/>
        <v>89.177397838009298</v>
      </c>
      <c r="O14" s="1" cm="1">
        <f t="array" ref="O14">_xlfn.IFS(C14&lt;=C$9/(1+$C$5),-1,C14&lt;=C$9*(1+$C$5),2*((1+$C$5)*C14-C$9)/($C$5*(C$9+C14))-1,TRUE,1)</f>
        <v>1</v>
      </c>
      <c r="P14" s="1" cm="1">
        <f t="array" ref="P14">_xlfn.IFS(D14&lt;=D$9/(1+$C$5),-1,D14&lt;=D$9*(1+$C$5),2*((1+$C$5)*D14-D$9)/($C$5*(D$9+D14))-1,TRUE,1)</f>
        <v>1</v>
      </c>
      <c r="Q14" s="1" cm="1">
        <f t="array" ref="Q14">_xlfn.IFS(E14&lt;=E$9/(1+$C$5),-1,E14&lt;=E$9*(1+$C$5),2*((1+$C$5)*E14-E$9)/($C$5*(E$9+E14))-1,TRUE,1)</f>
        <v>1</v>
      </c>
      <c r="R14" s="1">
        <f t="shared" si="2"/>
        <v>100</v>
      </c>
      <c r="S14" s="1" t="s">
        <v>10</v>
      </c>
      <c r="T14" t="str" cm="1">
        <f t="array" ref="T14">_xlfn.IFS(J14&gt;=0,"A",N14&gt;=0,"B+",R14&gt;=0,"B",TRUE,"C")</f>
        <v>A</v>
      </c>
      <c r="U14" s="3"/>
      <c r="V14" cm="1">
        <f t="array" ref="V14">_xlfn.IFS(J14&gt;=0,1,N14&gt;=0,2,R14&gt;=0,3,TRUE,4)</f>
        <v>1</v>
      </c>
      <c r="W14" cm="1">
        <f t="array" ref="W14">_xlfn.IFS(U14="",V14,U14="A",1,U14="B+",2,U14="B",3,TRUE,4)</f>
        <v>1</v>
      </c>
      <c r="X14" s="1">
        <f t="shared" si="3"/>
        <v>0</v>
      </c>
    </row>
    <row r="15" spans="1:24" x14ac:dyDescent="0.2">
      <c r="A15" t="s">
        <v>45</v>
      </c>
      <c r="B15" t="s">
        <v>39</v>
      </c>
      <c r="C15" s="1">
        <v>387.96</v>
      </c>
      <c r="D15" s="1">
        <v>26.71</v>
      </c>
      <c r="E15" s="1">
        <v>30</v>
      </c>
      <c r="F15" s="1">
        <v>36.54</v>
      </c>
      <c r="G15" s="1" cm="1">
        <f t="array" ref="G15">_xlfn.IFS(C15&lt;=C$7/(1+$C$5),-1,C15&lt;=C$7*(1+$C$5),2*((1+$C$5)*C15-C$7)/($C$5*(C$7+C15))-1,TRUE,1)</f>
        <v>0.76863593098615279</v>
      </c>
      <c r="H15" s="1" cm="1">
        <f t="array" ref="H15">_xlfn.IFS(D15&lt;=D$7/(1+$C$5),-1,D15&lt;=D$7*(1+$C$5),2*((1+$C$5)*D15-D$7)/($C$5*(D$7+D15))-1,TRUE,1)</f>
        <v>1</v>
      </c>
      <c r="I15" s="1" cm="1">
        <f t="array" ref="I15">_xlfn.IFS(E15&lt;=E$7/(1+$C$5),-1,E15&lt;=E$7*(1+$C$5),2*((1+$C$5)*E15-E$7)/($C$5*(E$7+E15))-1,TRUE,1)</f>
        <v>-1</v>
      </c>
      <c r="J15" s="1">
        <f t="shared" si="0"/>
        <v>58.431796549307649</v>
      </c>
      <c r="K15" s="1" cm="1">
        <f t="array" ref="K15">_xlfn.IFS(C15&lt;=C$8/(1+$C$5),-1,C15&lt;=C$8*(1+$C$5),2*((1+$C$5)*C15-C$8)/($C$5*(C$8+C15))-1,TRUE,1)</f>
        <v>0.78354795676018596</v>
      </c>
      <c r="L15" s="1" cm="1">
        <f t="array" ref="L15">_xlfn.IFS(D15&lt;=D$8/(1+$C$5),-1,D15&lt;=D$8*(1+$C$5),2*((1+$C$5)*D15-D$8)/($C$5*(D$8+D15))-1,TRUE,1)</f>
        <v>1</v>
      </c>
      <c r="M15" s="1" cm="1">
        <f t="array" ref="M15">_xlfn.IFS(E15&lt;=E$8/(1+$C$5),-1,E15&lt;=E$8*(1+$C$5),2*((1+$C$5)*E15-E$8)/($C$5*(E$8+E15))-1,TRUE,1)</f>
        <v>-1</v>
      </c>
      <c r="N15" s="1">
        <f t="shared" si="1"/>
        <v>59.177397838009298</v>
      </c>
      <c r="O15" s="1" cm="1">
        <f t="array" ref="O15">_xlfn.IFS(C15&lt;=C$9/(1+$C$5),-1,C15&lt;=C$9*(1+$C$5),2*((1+$C$5)*C15-C$9)/($C$5*(C$9+C15))-1,TRUE,1)</f>
        <v>1</v>
      </c>
      <c r="P15" s="1" cm="1">
        <f t="array" ref="P15">_xlfn.IFS(D15&lt;=D$9/(1+$C$5),-1,D15&lt;=D$9*(1+$C$5),2*((1+$C$5)*D15-D$9)/($C$5*(D$9+D15))-1,TRUE,1)</f>
        <v>1</v>
      </c>
      <c r="Q15" s="1" cm="1">
        <f t="array" ref="Q15">_xlfn.IFS(E15&lt;=E$9/(1+$C$5),-1,E15&lt;=E$9*(1+$C$5),2*((1+$C$5)*E15-E$9)/($C$5*(E$9+E15))-1,TRUE,1)</f>
        <v>-0.48954983177439149</v>
      </c>
      <c r="R15" s="1">
        <f t="shared" si="2"/>
        <v>77.656752523384128</v>
      </c>
      <c r="S15" s="1" t="s">
        <v>10</v>
      </c>
      <c r="T15" t="str" cm="1">
        <f t="array" ref="T15">_xlfn.IFS(J15&gt;=0,"A",N15&gt;=0,"B+",R15&gt;=0,"B",TRUE,"C")</f>
        <v>A</v>
      </c>
      <c r="U15" s="3"/>
      <c r="V15" cm="1">
        <f t="array" ref="V15">_xlfn.IFS(J15&gt;=0,1,N15&gt;=0,2,R15&gt;=0,3,TRUE,4)</f>
        <v>1</v>
      </c>
      <c r="W15" cm="1">
        <f t="array" ref="W15">_xlfn.IFS(U15="",V15,U15="A",1,U15="B+",2,U15="B",3,TRUE,4)</f>
        <v>1</v>
      </c>
      <c r="X15" s="1">
        <f t="shared" si="3"/>
        <v>0</v>
      </c>
    </row>
    <row r="16" spans="1:24" x14ac:dyDescent="0.2">
      <c r="A16" t="s">
        <v>52</v>
      </c>
      <c r="B16" t="s">
        <v>39</v>
      </c>
      <c r="C16" s="1">
        <v>337.12</v>
      </c>
      <c r="D16" s="1">
        <v>20.98</v>
      </c>
      <c r="E16" s="1">
        <v>80</v>
      </c>
      <c r="F16" s="1">
        <v>121.82</v>
      </c>
      <c r="G16" s="1" cm="1">
        <f t="array" ref="G16">_xlfn.IFS(C16&lt;=C$7/(1+$C$5),-1,C16&lt;=C$7*(1+$C$5),2*((1+$C$5)*C16-C$7)/($C$5*(C$7+C16))-1,TRUE,1)</f>
        <v>0.23278999960362778</v>
      </c>
      <c r="H16" s="1" cm="1">
        <f t="array" ref="H16">_xlfn.IFS(D16&lt;=D$7/(1+$C$5),-1,D16&lt;=D$7*(1+$C$5),2*((1+$C$5)*D16-D$7)/($C$5*(D$7+D16))-1,TRUE,1)</f>
        <v>1</v>
      </c>
      <c r="I16" s="1" cm="1">
        <f t="array" ref="I16">_xlfn.IFS(E16&lt;=E$7/(1+$C$5),-1,E16&lt;=E$7*(1+$C$5),2*((1+$C$5)*E16-E$7)/($C$5*(E$7+E16))-1,TRUE,1)</f>
        <v>0.25128498918581443</v>
      </c>
      <c r="J16" s="1">
        <f t="shared" si="0"/>
        <v>50.408774817968606</v>
      </c>
      <c r="K16" s="1" cm="1">
        <f t="array" ref="K16">_xlfn.IFS(C16&lt;=C$8/(1+$C$5),-1,C16&lt;=C$8*(1+$C$5),2*((1+$C$5)*C16-C$8)/($C$5*(C$8+C16))-1,TRUE,1)</f>
        <v>0.24784165367226341</v>
      </c>
      <c r="L16" s="1" cm="1">
        <f t="array" ref="L16">_xlfn.IFS(D16&lt;=D$8/(1+$C$5),-1,D16&lt;=D$8*(1+$C$5),2*((1+$C$5)*D16-D$8)/($C$5*(D$8+D16))-1,TRUE,1)</f>
        <v>1</v>
      </c>
      <c r="M16" s="1" cm="1">
        <f t="array" ref="M16">_xlfn.IFS(E16&lt;=E$8/(1+$C$5),-1,E16&lt;=E$8*(1+$C$5),2*((1+$C$5)*E16-E$8)/($C$5*(E$8+E16))-1,TRUE,1)</f>
        <v>1</v>
      </c>
      <c r="N16" s="1">
        <f t="shared" si="1"/>
        <v>62.392082683613168</v>
      </c>
      <c r="O16" s="1" cm="1">
        <f t="array" ref="O16">_xlfn.IFS(C16&lt;=C$9/(1+$C$5),-1,C16&lt;=C$9*(1+$C$5),2*((1+$C$5)*C16-C$9)/($C$5*(C$9+C16))-1,TRUE,1)</f>
        <v>1</v>
      </c>
      <c r="P16" s="1" cm="1">
        <f t="array" ref="P16">_xlfn.IFS(D16&lt;=D$9/(1+$C$5),-1,D16&lt;=D$9*(1+$C$5),2*((1+$C$5)*D16-D$9)/($C$5*(D$9+D16))-1,TRUE,1)</f>
        <v>1</v>
      </c>
      <c r="Q16" s="1" cm="1">
        <f t="array" ref="Q16">_xlfn.IFS(E16&lt;=E$9/(1+$C$5),-1,E16&lt;=E$9*(1+$C$5),2*((1+$C$5)*E16-E$9)/($C$5*(E$9+E16))-1,TRUE,1)</f>
        <v>1</v>
      </c>
      <c r="R16" s="1">
        <f t="shared" si="2"/>
        <v>100</v>
      </c>
      <c r="S16" s="1" t="s">
        <v>15</v>
      </c>
      <c r="T16" t="str" cm="1">
        <f t="array" ref="T16">_xlfn.IFS(J16&gt;=0,"A",N16&gt;=0,"B+",R16&gt;=0,"B",TRUE,"C")</f>
        <v>A</v>
      </c>
      <c r="U16" s="3"/>
      <c r="V16" cm="1">
        <f t="array" ref="V16">_xlfn.IFS(J16&gt;=0,1,N16&gt;=0,2,R16&gt;=0,3,TRUE,4)</f>
        <v>1</v>
      </c>
      <c r="W16" cm="1">
        <f t="array" ref="W16">_xlfn.IFS(U16="",V16,U16="A",1,U16="B+",2,U16="B",3,TRUE,4)</f>
        <v>1</v>
      </c>
      <c r="X16" s="1">
        <f t="shared" si="3"/>
        <v>0</v>
      </c>
    </row>
    <row r="17" spans="1:24" x14ac:dyDescent="0.2">
      <c r="A17" t="s">
        <v>42</v>
      </c>
      <c r="B17" t="s">
        <v>39</v>
      </c>
      <c r="C17" s="1">
        <v>317.24</v>
      </c>
      <c r="D17" s="1">
        <v>41.73</v>
      </c>
      <c r="E17" s="1">
        <v>106</v>
      </c>
      <c r="F17" s="1">
        <v>134.56</v>
      </c>
      <c r="G17" s="1" cm="1">
        <f t="array" ref="G17">_xlfn.IFS(C17&lt;=C$7/(1+$C$5),-1,C17&lt;=C$7*(1+$C$5),2*((1+$C$5)*C17-C$7)/($C$5*(C$7+C17))-1,TRUE,1)</f>
        <v>-9.6650172243140098E-5</v>
      </c>
      <c r="H17" s="1" cm="1">
        <f t="array" ref="H17">_xlfn.IFS(D17&lt;=D$7/(1+$C$5),-1,D17&lt;=D$7*(1+$C$5),2*((1+$C$5)*D17-D$7)/($C$5*(D$7+D17))-1,TRUE,1)</f>
        <v>1</v>
      </c>
      <c r="I17" s="1" cm="1">
        <f t="array" ref="I17">_xlfn.IFS(E17&lt;=E$7/(1+$C$5),-1,E17&lt;=E$7*(1+$C$5),2*((1+$C$5)*E17-E$7)/($C$5*(E$7+E17))-1,TRUE,1)</f>
        <v>1</v>
      </c>
      <c r="J17" s="1">
        <f t="shared" si="0"/>
        <v>49.995167491387846</v>
      </c>
      <c r="K17" s="1" cm="1">
        <f t="array" ref="K17">_xlfn.IFS(C17&lt;=C$8/(1+$C$5),-1,C17&lt;=C$8*(1+$C$5),2*((1+$C$5)*C17-C$8)/($C$5*(C$8+C17))-1,TRUE,1)</f>
        <v>1.4969797391104933E-2</v>
      </c>
      <c r="L17" s="1" cm="1">
        <f t="array" ref="L17">_xlfn.IFS(D17&lt;=D$8/(1+$C$5),-1,D17&lt;=D$8*(1+$C$5),2*((1+$C$5)*D17-D$8)/($C$5*(D$8+D17))-1,TRUE,1)</f>
        <v>1</v>
      </c>
      <c r="M17" s="1" cm="1">
        <f t="array" ref="M17">_xlfn.IFS(E17&lt;=E$8/(1+$C$5),-1,E17&lt;=E$8*(1+$C$5),2*((1+$C$5)*E17-E$8)/($C$5*(E$8+E17))-1,TRUE,1)</f>
        <v>1</v>
      </c>
      <c r="N17" s="1">
        <f t="shared" si="1"/>
        <v>50.748489869555243</v>
      </c>
      <c r="O17" s="1" cm="1">
        <f t="array" ref="O17">_xlfn.IFS(C17&lt;=C$9/(1+$C$5),-1,C17&lt;=C$9*(1+$C$5),2*((1+$C$5)*C17-C$9)/($C$5*(C$9+C17))-1,TRUE,1)</f>
        <v>1</v>
      </c>
      <c r="P17" s="1" cm="1">
        <f t="array" ref="P17">_xlfn.IFS(D17&lt;=D$9/(1+$C$5),-1,D17&lt;=D$9*(1+$C$5),2*((1+$C$5)*D17-D$9)/($C$5*(D$9+D17))-1,TRUE,1)</f>
        <v>1</v>
      </c>
      <c r="Q17" s="1" cm="1">
        <f t="array" ref="Q17">_xlfn.IFS(E17&lt;=E$9/(1+$C$5),-1,E17&lt;=E$9*(1+$C$5),2*((1+$C$5)*E17-E$9)/($C$5*(E$9+E17))-1,TRUE,1)</f>
        <v>1</v>
      </c>
      <c r="R17" s="1">
        <f t="shared" si="2"/>
        <v>100</v>
      </c>
      <c r="S17" s="1" t="s">
        <v>10</v>
      </c>
      <c r="T17" t="str" cm="1">
        <f t="array" ref="T17">_xlfn.IFS(J17&gt;=0,"A",N17&gt;=0,"B+",R17&gt;=0,"B",TRUE,"C")</f>
        <v>A</v>
      </c>
      <c r="U17" s="3"/>
      <c r="V17" cm="1">
        <f t="array" ref="V17">_xlfn.IFS(J17&gt;=0,1,N17&gt;=0,2,R17&gt;=0,3,TRUE,4)</f>
        <v>1</v>
      </c>
      <c r="W17" cm="1">
        <f t="array" ref="W17">_xlfn.IFS(U17="",V17,U17="A",1,U17="B+",2,U17="B",3,TRUE,4)</f>
        <v>1</v>
      </c>
      <c r="X17" s="1">
        <f t="shared" si="3"/>
        <v>0</v>
      </c>
    </row>
    <row r="18" spans="1:24" x14ac:dyDescent="0.2">
      <c r="A18" t="s">
        <v>43</v>
      </c>
      <c r="B18" t="s">
        <v>39</v>
      </c>
      <c r="C18" s="1">
        <v>329.18</v>
      </c>
      <c r="D18" s="1">
        <v>31.33</v>
      </c>
      <c r="E18" s="1">
        <v>84</v>
      </c>
      <c r="F18" s="1">
        <v>86.5</v>
      </c>
      <c r="G18" s="1" cm="1">
        <f t="array" ref="G18">_xlfn.IFS(C18&lt;=C$7/(1+$C$5),-1,C18&lt;=C$7*(1+$C$5),2*((1+$C$5)*C18-C$7)/($C$5*(C$7+C18))-1,TRUE,1)</f>
        <v>0.14149395360075245</v>
      </c>
      <c r="H18" s="1" cm="1">
        <f t="array" ref="H18">_xlfn.IFS(D18&lt;=D$7/(1+$C$5),-1,D18&lt;=D$7*(1+$C$5),2*((1+$C$5)*D18-D$7)/($C$5*(D$7+D18))-1,TRUE,1)</f>
        <v>1</v>
      </c>
      <c r="I18" s="1" cm="1">
        <f t="array" ref="I18">_xlfn.IFS(E18&lt;=E$7/(1+$C$5),-1,E18&lt;=E$7*(1+$C$5),2*((1+$C$5)*E18-E$7)/($C$5*(E$7+E18))-1,TRUE,1)</f>
        <v>0.43790013932499083</v>
      </c>
      <c r="J18" s="1">
        <f t="shared" si="0"/>
        <v>48.643199769912485</v>
      </c>
      <c r="K18" s="1" cm="1">
        <f t="array" ref="K18">_xlfn.IFS(C18&lt;=C$8/(1+$C$5),-1,C18&lt;=C$8*(1+$C$5),2*((1+$C$5)*C18-C$8)/($C$5*(C$8+C18))-1,TRUE,1)</f>
        <v>0.1565547210940994</v>
      </c>
      <c r="L18" s="1" cm="1">
        <f t="array" ref="L18">_xlfn.IFS(D18&lt;=D$8/(1+$C$5),-1,D18&lt;=D$8*(1+$C$5),2*((1+$C$5)*D18-D$8)/($C$5*(D$8+D18))-1,TRUE,1)</f>
        <v>1</v>
      </c>
      <c r="M18" s="1" cm="1">
        <f t="array" ref="M18">_xlfn.IFS(E18&lt;=E$8/(1+$C$5),-1,E18&lt;=E$8*(1+$C$5),2*((1+$C$5)*E18-E$8)/($C$5*(E$8+E18))-1,TRUE,1)</f>
        <v>1</v>
      </c>
      <c r="N18" s="1">
        <f t="shared" si="1"/>
        <v>57.827736054704971</v>
      </c>
      <c r="O18" s="1" cm="1">
        <f t="array" ref="O18">_xlfn.IFS(C18&lt;=C$9/(1+$C$5),-1,C18&lt;=C$9*(1+$C$5),2*((1+$C$5)*C18-C$9)/($C$5*(C$9+C18))-1,TRUE,1)</f>
        <v>1</v>
      </c>
      <c r="P18" s="1" cm="1">
        <f t="array" ref="P18">_xlfn.IFS(D18&lt;=D$9/(1+$C$5),-1,D18&lt;=D$9*(1+$C$5),2*((1+$C$5)*D18-D$9)/($C$5*(D$9+D18))-1,TRUE,1)</f>
        <v>1</v>
      </c>
      <c r="Q18" s="1" cm="1">
        <f t="array" ref="Q18">_xlfn.IFS(E18&lt;=E$9/(1+$C$5),-1,E18&lt;=E$9*(1+$C$5),2*((1+$C$5)*E18-E$9)/($C$5*(E$9+E18))-1,TRUE,1)</f>
        <v>1</v>
      </c>
      <c r="R18" s="1">
        <f t="shared" si="2"/>
        <v>100</v>
      </c>
      <c r="S18" s="1" t="s">
        <v>10</v>
      </c>
      <c r="T18" t="str" cm="1">
        <f t="array" ref="T18">_xlfn.IFS(J18&gt;=0,"A",N18&gt;=0,"B+",R18&gt;=0,"B",TRUE,"C")</f>
        <v>A</v>
      </c>
      <c r="U18" s="3"/>
      <c r="V18" cm="1">
        <f t="array" ref="V18">_xlfn.IFS(J18&gt;=0,1,N18&gt;=0,2,R18&gt;=0,3,TRUE,4)</f>
        <v>1</v>
      </c>
      <c r="W18" cm="1">
        <f t="array" ref="W18">_xlfn.IFS(U18="",V18,U18="A",1,U18="B+",2,U18="B",3,TRUE,4)</f>
        <v>1</v>
      </c>
      <c r="X18" s="1">
        <f t="shared" si="3"/>
        <v>0</v>
      </c>
    </row>
    <row r="19" spans="1:24" x14ac:dyDescent="0.2">
      <c r="A19" t="s">
        <v>44</v>
      </c>
      <c r="B19" t="s">
        <v>39</v>
      </c>
      <c r="C19" s="1">
        <v>344.25</v>
      </c>
      <c r="D19" s="1">
        <v>82</v>
      </c>
      <c r="E19" s="1">
        <v>63</v>
      </c>
      <c r="F19" s="1">
        <v>15.05</v>
      </c>
      <c r="G19" s="1" cm="1">
        <f t="array" ref="G19">_xlfn.IFS(C19&lt;=C$7/(1+$C$5),-1,C19&lt;=C$7*(1+$C$5),2*((1+$C$5)*C19-C$7)/($C$5*(C$7+C19))-1,TRUE,1)</f>
        <v>0.3129047751698828</v>
      </c>
      <c r="H19" s="1" cm="1">
        <f t="array" ref="H19">_xlfn.IFS(D19&lt;=D$7/(1+$C$5),-1,D19&lt;=D$7*(1+$C$5),2*((1+$C$5)*D19-D$7)/($C$5*(D$7+D19))-1,TRUE,1)</f>
        <v>1</v>
      </c>
      <c r="I19" s="1" cm="1">
        <f t="array" ref="I19">_xlfn.IFS(E19&lt;=E$7/(1+$C$5),-1,E19&lt;=E$7*(1+$C$5),2*((1+$C$5)*E19-E$7)/($C$5*(E$7+E19))-1,TRUE,1)</f>
        <v>-0.66258939212270285</v>
      </c>
      <c r="J19" s="1">
        <f t="shared" si="0"/>
        <v>40.706397876653597</v>
      </c>
      <c r="K19" s="1" cm="1">
        <f t="array" ref="K19">_xlfn.IFS(C19&lt;=C$8/(1+$C$5),-1,C19&lt;=C$8*(1+$C$5),2*((1+$C$5)*C19-C$8)/($C$5*(C$8+C19))-1,TRUE,1)</f>
        <v>0.32794491154368943</v>
      </c>
      <c r="L19" s="1" cm="1">
        <f t="array" ref="L19">_xlfn.IFS(D19&lt;=D$8/(1+$C$5),-1,D19&lt;=D$8*(1+$C$5),2*((1+$C$5)*D19-D$8)/($C$5*(D$8+D19))-1,TRUE,1)</f>
        <v>1</v>
      </c>
      <c r="M19" s="1" cm="1">
        <f t="array" ref="M19">_xlfn.IFS(E19&lt;=E$8/(1+$C$5),-1,E19&lt;=E$8*(1+$C$5),2*((1+$C$5)*E19-E$8)/($C$5*(E$8+E19))-1,TRUE,1)</f>
        <v>0.78597711417734262</v>
      </c>
      <c r="N19" s="1">
        <f t="shared" si="1"/>
        <v>63.18690228984461</v>
      </c>
      <c r="O19" s="1" cm="1">
        <f t="array" ref="O19">_xlfn.IFS(C19&lt;=C$9/(1+$C$5),-1,C19&lt;=C$9*(1+$C$5),2*((1+$C$5)*C19-C$9)/($C$5*(C$9+C19))-1,TRUE,1)</f>
        <v>1</v>
      </c>
      <c r="P19" s="1" cm="1">
        <f t="array" ref="P19">_xlfn.IFS(D19&lt;=D$9/(1+$C$5),-1,D19&lt;=D$9*(1+$C$5),2*((1+$C$5)*D19-D$9)/($C$5*(D$9+D19))-1,TRUE,1)</f>
        <v>1</v>
      </c>
      <c r="Q19" s="1" cm="1">
        <f t="array" ref="Q19">_xlfn.IFS(E19&lt;=E$9/(1+$C$5),-1,E19&lt;=E$9*(1+$C$5),2*((1+$C$5)*E19-E$9)/($C$5*(E$9+E19))-1,TRUE,1)</f>
        <v>1</v>
      </c>
      <c r="R19" s="1">
        <f t="shared" si="2"/>
        <v>100</v>
      </c>
      <c r="S19" s="1" t="s">
        <v>10</v>
      </c>
      <c r="T19" t="str" cm="1">
        <f t="array" ref="T19">_xlfn.IFS(J19&gt;=0,"A",N19&gt;=0,"B+",R19&gt;=0,"B",TRUE,"C")</f>
        <v>A</v>
      </c>
      <c r="U19" s="3"/>
      <c r="V19" cm="1">
        <f t="array" ref="V19">_xlfn.IFS(J19&gt;=0,1,N19&gt;=0,2,R19&gt;=0,3,TRUE,4)</f>
        <v>1</v>
      </c>
      <c r="W19" cm="1">
        <f t="array" ref="W19">_xlfn.IFS(U19="",V19,U19="A",1,U19="B+",2,U19="B",3,TRUE,4)</f>
        <v>1</v>
      </c>
      <c r="X19" s="1">
        <f t="shared" si="3"/>
        <v>0</v>
      </c>
    </row>
    <row r="20" spans="1:24" x14ac:dyDescent="0.2">
      <c r="A20" t="s">
        <v>62</v>
      </c>
      <c r="B20" t="s">
        <v>39</v>
      </c>
      <c r="C20" s="1">
        <v>317.29000000000002</v>
      </c>
      <c r="D20" s="1">
        <v>19.23</v>
      </c>
      <c r="E20" s="1">
        <v>82.5</v>
      </c>
      <c r="F20" s="1">
        <v>28.75</v>
      </c>
      <c r="G20" s="1" cm="1">
        <f t="array" ref="G20">_xlfn.IFS(C20&lt;=C$7/(1+$C$5),-1,C20&lt;=C$7*(1+$C$5),2*((1+$C$5)*C20-C$7)/($C$5*(C$7+C20))-1,TRUE,1)</f>
        <v>5.0738556696217074E-4</v>
      </c>
      <c r="H20" s="1" cm="1">
        <f t="array" ref="H20">_xlfn.IFS(D20&lt;=D$7/(1+$C$5),-1,D20&lt;=D$7*(1+$C$5),2*((1+$C$5)*D20-D$7)/($C$5*(D$7+D20))-1,TRUE,1)</f>
        <v>1</v>
      </c>
      <c r="I20" s="1" cm="1">
        <f t="array" ref="I20">_xlfn.IFS(E20&lt;=E$7/(1+$C$5),-1,E20&lt;=E$7*(1+$C$5),2*((1+$C$5)*E20-E$7)/($C$5*(E$7+E20))-1,TRUE,1)</f>
        <v>0.3690308162425413</v>
      </c>
      <c r="J20" s="1">
        <f t="shared" si="0"/>
        <v>40.560831521986231</v>
      </c>
      <c r="K20" s="1" cm="1">
        <f t="array" ref="K20">_xlfn.IFS(C20&lt;=C$8/(1+$C$5),-1,C20&lt;=C$8*(1+$C$5),2*((1+$C$5)*C20-C$8)/($C$5*(C$8+C20))-1,TRUE,1)</f>
        <v>1.5573830733267791E-2</v>
      </c>
      <c r="L20" s="1" cm="1">
        <f t="array" ref="L20">_xlfn.IFS(D20&lt;=D$8/(1+$C$5),-1,D20&lt;=D$8*(1+$C$5),2*((1+$C$5)*D20-D$8)/($C$5*(D$8+D20))-1,TRUE,1)</f>
        <v>1</v>
      </c>
      <c r="M20" s="1" cm="1">
        <f t="array" ref="M20">_xlfn.IFS(E20&lt;=E$8/(1+$C$5),-1,E20&lt;=E$8*(1+$C$5),2*((1+$C$5)*E20-E$8)/($C$5*(E$8+E20))-1,TRUE,1)</f>
        <v>1</v>
      </c>
      <c r="N20" s="1">
        <f t="shared" si="1"/>
        <v>50.778691536663388</v>
      </c>
      <c r="O20" s="1" cm="1">
        <f t="array" ref="O20">_xlfn.IFS(C20&lt;=C$9/(1+$C$5),-1,C20&lt;=C$9*(1+$C$5),2*((1+$C$5)*C20-C$9)/($C$5*(C$9+C20))-1,TRUE,1)</f>
        <v>1</v>
      </c>
      <c r="P20" s="1" cm="1">
        <f t="array" ref="P20">_xlfn.IFS(D20&lt;=D$9/(1+$C$5),-1,D20&lt;=D$9*(1+$C$5),2*((1+$C$5)*D20-D$9)/($C$5*(D$9+D20))-1,TRUE,1)</f>
        <v>1</v>
      </c>
      <c r="Q20" s="1" cm="1">
        <f t="array" ref="Q20">_xlfn.IFS(E20&lt;=E$9/(1+$C$5),-1,E20&lt;=E$9*(1+$C$5),2*((1+$C$5)*E20-E$9)/($C$5*(E$9+E20))-1,TRUE,1)</f>
        <v>1</v>
      </c>
      <c r="R20" s="1">
        <f t="shared" si="2"/>
        <v>100</v>
      </c>
      <c r="S20" s="1" t="s">
        <v>15</v>
      </c>
      <c r="T20" t="str" cm="1">
        <f t="array" ref="T20">_xlfn.IFS(J20&gt;=0,"A",N20&gt;=0,"B+",R20&gt;=0,"B",TRUE,"C")</f>
        <v>A</v>
      </c>
      <c r="U20" s="3"/>
      <c r="V20" cm="1">
        <f t="array" ref="V20">_xlfn.IFS(J20&gt;=0,1,N20&gt;=0,2,R20&gt;=0,3,TRUE,4)</f>
        <v>1</v>
      </c>
      <c r="W20" cm="1">
        <f t="array" ref="W20">_xlfn.IFS(U20="",V20,U20="A",1,U20="B+",2,U20="B",3,TRUE,4)</f>
        <v>1</v>
      </c>
      <c r="X20" s="1">
        <f t="shared" si="3"/>
        <v>0</v>
      </c>
    </row>
    <row r="21" spans="1:24" x14ac:dyDescent="0.2">
      <c r="A21" t="s">
        <v>61</v>
      </c>
      <c r="B21" t="s">
        <v>39</v>
      </c>
      <c r="C21" s="1">
        <v>340.14</v>
      </c>
      <c r="D21" s="1">
        <v>15.12</v>
      </c>
      <c r="E21" s="1">
        <v>72</v>
      </c>
      <c r="F21" s="1">
        <v>14.2</v>
      </c>
      <c r="G21" s="1" cm="1">
        <f t="array" ref="G21">_xlfn.IFS(C21&lt;=C$7/(1+$C$5),-1,C21&lt;=C$7*(1+$C$5),2*((1+$C$5)*C21-C$7)/($C$5*(C$7+C21))-1,TRUE,1)</f>
        <v>0.2669357606492635</v>
      </c>
      <c r="H21" s="1" cm="1">
        <f t="array" ref="H21">_xlfn.IFS(D21&lt;=D$7/(1+$C$5),-1,D21&lt;=D$7*(1+$C$5),2*((1+$C$5)*D21-D$7)/($C$5*(D$7+D21))-1,TRUE,1)</f>
        <v>0.83793202844149373</v>
      </c>
      <c r="I21" s="1" cm="1">
        <f t="array" ref="I21">_xlfn.IFS(E21&lt;=E$7/(1+$C$5),-1,E21&lt;=E$7*(1+$C$5),2*((1+$C$5)*E21-E$7)/($C$5*(E$7+E21))-1,TRUE,1)</f>
        <v>-0.15242936489198133</v>
      </c>
      <c r="J21" s="1">
        <f t="shared" si="0"/>
        <v>40.387968554535739</v>
      </c>
      <c r="K21" s="1" cm="1">
        <f t="array" ref="K21">_xlfn.IFS(C21&lt;=C$8/(1+$C$5),-1,C21&lt;=C$8*(1+$C$5),2*((1+$C$5)*C21-C$8)/($C$5*(C$8+C21))-1,TRUE,1)</f>
        <v>0.28198290813016924</v>
      </c>
      <c r="L21" s="1" cm="1">
        <f t="array" ref="L21">_xlfn.IFS(D21&lt;=D$8/(1+$C$5),-1,D21&lt;=D$8*(1+$C$5),2*((1+$C$5)*D21-D$8)/($C$5*(D$8+D21))-1,TRUE,1)</f>
        <v>0.89678196065904214</v>
      </c>
      <c r="M21" s="1" cm="1">
        <f t="array" ref="M21">_xlfn.IFS(E21&lt;=E$8/(1+$C$5),-1,E21&lt;=E$8*(1+$C$5),2*((1+$C$5)*E21-E$8)/($C$5*(E$8+E21))-1,TRUE,1)</f>
        <v>1</v>
      </c>
      <c r="N21" s="1">
        <f t="shared" si="1"/>
        <v>60.486514029574934</v>
      </c>
      <c r="O21" s="1" cm="1">
        <f t="array" ref="O21">_xlfn.IFS(C21&lt;=C$9/(1+$C$5),-1,C21&lt;=C$9*(1+$C$5),2*((1+$C$5)*C21-C$9)/($C$5*(C$9+C21))-1,TRUE,1)</f>
        <v>1</v>
      </c>
      <c r="P21" s="1" cm="1">
        <f t="array" ref="P21">_xlfn.IFS(D21&lt;=D$9/(1+$C$5),-1,D21&lt;=D$9*(1+$C$5),2*((1+$C$5)*D21-D$9)/($C$5*(D$9+D21))-1,TRUE,1)</f>
        <v>0.95430859133687096</v>
      </c>
      <c r="Q21" s="1" cm="1">
        <f t="array" ref="Q21">_xlfn.IFS(E21&lt;=E$9/(1+$C$5),-1,E21&lt;=E$9*(1+$C$5),2*((1+$C$5)*E21-E$9)/($C$5*(E$9+E21))-1,TRUE,1)</f>
        <v>1</v>
      </c>
      <c r="R21" s="1">
        <f t="shared" si="2"/>
        <v>98.400800696790483</v>
      </c>
      <c r="S21" s="1" t="s">
        <v>15</v>
      </c>
      <c r="T21" t="str" cm="1">
        <f t="array" ref="T21">_xlfn.IFS(J21&gt;=0,"A",N21&gt;=0,"B+",R21&gt;=0,"B",TRUE,"C")</f>
        <v>A</v>
      </c>
      <c r="U21" s="3"/>
      <c r="V21" cm="1">
        <f t="array" ref="V21">_xlfn.IFS(J21&gt;=0,1,N21&gt;=0,2,R21&gt;=0,3,TRUE,4)</f>
        <v>1</v>
      </c>
      <c r="W21" cm="1">
        <f t="array" ref="W21">_xlfn.IFS(U21="",V21,U21="A",1,U21="B+",2,U21="B",3,TRUE,4)</f>
        <v>1</v>
      </c>
      <c r="X21" s="1">
        <f t="shared" si="3"/>
        <v>0</v>
      </c>
    </row>
    <row r="22" spans="1:24" x14ac:dyDescent="0.2">
      <c r="A22" t="s">
        <v>63</v>
      </c>
      <c r="B22" t="s">
        <v>39</v>
      </c>
      <c r="C22" s="1">
        <v>322.86</v>
      </c>
      <c r="D22" s="1">
        <v>20.27</v>
      </c>
      <c r="E22" s="1">
        <v>66</v>
      </c>
      <c r="F22" s="1">
        <v>76.13</v>
      </c>
      <c r="G22" s="1" cm="1">
        <f t="array" ref="G22">_xlfn.IFS(C22&lt;=C$7/(1+$C$5),-1,C22&lt;=C$7*(1+$C$5),2*((1+$C$5)*C22-C$7)/($C$5*(C$7+C22))-1,TRUE,1)</f>
        <v>6.7206179973323676E-2</v>
      </c>
      <c r="H22" s="1" cm="1">
        <f t="array" ref="H22">_xlfn.IFS(D22&lt;=D$7/(1+$C$5),-1,D22&lt;=D$7*(1+$C$5),2*((1+$C$5)*D22-D$7)/($C$5*(D$7+D22))-1,TRUE,1)</f>
        <v>1</v>
      </c>
      <c r="I22" s="1" cm="1">
        <f t="array" ref="I22">_xlfn.IFS(E22&lt;=E$7/(1+$C$5),-1,E22&lt;=E$7*(1+$C$5),2*((1+$C$5)*E22-E$7)/($C$5*(E$7+E22))-1,TRUE,1)</f>
        <v>-0.48529570746621453</v>
      </c>
      <c r="J22" s="1">
        <f t="shared" si="0"/>
        <v>31.080873386672966</v>
      </c>
      <c r="K22" s="1" cm="1">
        <f t="array" ref="K22">_xlfn.IFS(C22&lt;=C$8/(1+$C$5),-1,C22&lt;=C$8*(1+$C$5),2*((1+$C$5)*C22-C$8)/($C$5*(C$8+C22))-1,TRUE,1)</f>
        <v>8.2271209485203611E-2</v>
      </c>
      <c r="L22" s="1" cm="1">
        <f t="array" ref="L22">_xlfn.IFS(D22&lt;=D$8/(1+$C$5),-1,D22&lt;=D$8*(1+$C$5),2*((1+$C$5)*D22-D$8)/($C$5*(D$8+D22))-1,TRUE,1)</f>
        <v>1</v>
      </c>
      <c r="M22" s="1" cm="1">
        <f t="array" ref="M22">_xlfn.IFS(E22&lt;=E$8/(1+$C$5),-1,E22&lt;=E$8*(1+$C$5),2*((1+$C$5)*E22-E$8)/($C$5*(E$8+E22))-1,TRUE,1)</f>
        <v>0.96195254991002788</v>
      </c>
      <c r="N22" s="1">
        <f t="shared" si="1"/>
        <v>53.542848722910605</v>
      </c>
      <c r="O22" s="1" cm="1">
        <f t="array" ref="O22">_xlfn.IFS(C22&lt;=C$9/(1+$C$5),-1,C22&lt;=C$9*(1+$C$5),2*((1+$C$5)*C22-C$9)/($C$5*(C$9+C22))-1,TRUE,1)</f>
        <v>1</v>
      </c>
      <c r="P22" s="1" cm="1">
        <f t="array" ref="P22">_xlfn.IFS(D22&lt;=D$9/(1+$C$5),-1,D22&lt;=D$9*(1+$C$5),2*((1+$C$5)*D22-D$9)/($C$5*(D$9+D22))-1,TRUE,1)</f>
        <v>1</v>
      </c>
      <c r="Q22" s="1" cm="1">
        <f t="array" ref="Q22">_xlfn.IFS(E22&lt;=E$9/(1+$C$5),-1,E22&lt;=E$9*(1+$C$5),2*((1+$C$5)*E22-E$9)/($C$5*(E$9+E22))-1,TRUE,1)</f>
        <v>1</v>
      </c>
      <c r="R22" s="1">
        <f t="shared" si="2"/>
        <v>100</v>
      </c>
      <c r="S22" s="1" t="s">
        <v>15</v>
      </c>
      <c r="T22" t="str" cm="1">
        <f t="array" ref="T22">_xlfn.IFS(J22&gt;=0,"A",N22&gt;=0,"B+",R22&gt;=0,"B",TRUE,"C")</f>
        <v>A</v>
      </c>
      <c r="U22" s="3"/>
      <c r="V22" cm="1">
        <f t="array" ref="V22">_xlfn.IFS(J22&gt;=0,1,N22&gt;=0,2,R22&gt;=0,3,TRUE,4)</f>
        <v>1</v>
      </c>
      <c r="W22" cm="1">
        <f t="array" ref="W22">_xlfn.IFS(U22="",V22,U22="A",1,U22="B+",2,U22="B",3,TRUE,4)</f>
        <v>1</v>
      </c>
      <c r="X22" s="1">
        <f t="shared" si="3"/>
        <v>0</v>
      </c>
    </row>
    <row r="23" spans="1:24" x14ac:dyDescent="0.2">
      <c r="A23" t="s">
        <v>46</v>
      </c>
      <c r="B23" t="s">
        <v>39</v>
      </c>
      <c r="C23" s="1">
        <v>297.64999999999998</v>
      </c>
      <c r="D23" s="1">
        <v>61.01</v>
      </c>
      <c r="E23" s="1">
        <v>85</v>
      </c>
      <c r="F23" s="1">
        <v>37.9</v>
      </c>
      <c r="G23" s="1" cm="1">
        <f t="array" ref="G23">_xlfn.IFS(C23&lt;=C$7/(1+$C$5),-1,C23&lt;=C$7*(1+$C$5),2*((1+$C$5)*C23-C$7)/($C$5*(C$7+C23))-1,TRUE,1)</f>
        <v>-0.24431687237104538</v>
      </c>
      <c r="H23" s="1" cm="1">
        <f t="array" ref="H23">_xlfn.IFS(D23&lt;=D$7/(1+$C$5),-1,D23&lt;=D$7*(1+$C$5),2*((1+$C$5)*D23-D$7)/($C$5*(D$7+D23))-1,TRUE,1)</f>
        <v>1</v>
      </c>
      <c r="I23" s="1" cm="1">
        <f t="array" ref="I23">_xlfn.IFS(E23&lt;=E$7/(1+$C$5),-1,E23&lt;=E$7*(1+$C$5),2*((1+$C$5)*E23-E$7)/($C$5*(E$7+E23))-1,TRUE,1)</f>
        <v>0.48309528055824269</v>
      </c>
      <c r="J23" s="1">
        <f t="shared" si="0"/>
        <v>30.030585589821371</v>
      </c>
      <c r="K23" s="1" cm="1">
        <f t="array" ref="K23">_xlfn.IFS(C23&lt;=C$8/(1+$C$5),-1,C23&lt;=C$8*(1+$C$5),2*((1+$C$5)*C23-C$8)/($C$5*(C$8+C23))-1,TRUE,1)</f>
        <v>-0.22926478708496012</v>
      </c>
      <c r="L23" s="1" cm="1">
        <f t="array" ref="L23">_xlfn.IFS(D23&lt;=D$8/(1+$C$5),-1,D23&lt;=D$8*(1+$C$5),2*((1+$C$5)*D23-D$8)/($C$5*(D$8+D23))-1,TRUE,1)</f>
        <v>1</v>
      </c>
      <c r="M23" s="1" cm="1">
        <f t="array" ref="M23">_xlfn.IFS(E23&lt;=E$8/(1+$C$5),-1,E23&lt;=E$8*(1+$C$5),2*((1+$C$5)*E23-E$8)/($C$5*(E$8+E23))-1,TRUE,1)</f>
        <v>1</v>
      </c>
      <c r="N23" s="1">
        <f t="shared" si="1"/>
        <v>38.536760645751997</v>
      </c>
      <c r="O23" s="1" cm="1">
        <f t="array" ref="O23">_xlfn.IFS(C23&lt;=C$9/(1+$C$5),-1,C23&lt;=C$9*(1+$C$5),2*((1+$C$5)*C23-C$9)/($C$5*(C$9+C23))-1,TRUE,1)</f>
        <v>1</v>
      </c>
      <c r="P23" s="1" cm="1">
        <f t="array" ref="P23">_xlfn.IFS(D23&lt;=D$9/(1+$C$5),-1,D23&lt;=D$9*(1+$C$5),2*((1+$C$5)*D23-D$9)/($C$5*(D$9+D23))-1,TRUE,1)</f>
        <v>1</v>
      </c>
      <c r="Q23" s="1" cm="1">
        <f t="array" ref="Q23">_xlfn.IFS(E23&lt;=E$9/(1+$C$5),-1,E23&lt;=E$9*(1+$C$5),2*((1+$C$5)*E23-E$9)/($C$5*(E$9+E23))-1,TRUE,1)</f>
        <v>1</v>
      </c>
      <c r="R23" s="1">
        <f t="shared" si="2"/>
        <v>100</v>
      </c>
      <c r="S23" s="1" t="s">
        <v>10</v>
      </c>
      <c r="T23" t="str" cm="1">
        <f t="array" ref="T23">_xlfn.IFS(J23&gt;=0,"A",N23&gt;=0,"B+",R23&gt;=0,"B",TRUE,"C")</f>
        <v>A</v>
      </c>
      <c r="U23" s="3"/>
      <c r="V23" cm="1">
        <f t="array" ref="V23">_xlfn.IFS(J23&gt;=0,1,N23&gt;=0,2,R23&gt;=0,3,TRUE,4)</f>
        <v>1</v>
      </c>
      <c r="W23" cm="1">
        <f t="array" ref="W23">_xlfn.IFS(U23="",V23,U23="A",1,U23="B+",2,U23="B",3,TRUE,4)</f>
        <v>1</v>
      </c>
      <c r="X23" s="1">
        <f t="shared" si="3"/>
        <v>0</v>
      </c>
    </row>
    <row r="24" spans="1:24" x14ac:dyDescent="0.2">
      <c r="A24" t="s">
        <v>47</v>
      </c>
      <c r="B24" t="s">
        <v>39</v>
      </c>
      <c r="C24" s="1">
        <v>281.07</v>
      </c>
      <c r="D24" s="1">
        <v>136.63</v>
      </c>
      <c r="E24" s="1">
        <v>108</v>
      </c>
      <c r="F24" s="1">
        <v>19.809999999999999</v>
      </c>
      <c r="G24" s="1" cm="1">
        <f t="array" ref="G24">_xlfn.IFS(C24&lt;=C$7/(1+$C$5),-1,C24&lt;=C$7*(1+$C$5),2*((1+$C$5)*C24-C$7)/($C$5*(C$7+C24))-1,TRUE,1)</f>
        <v>-0.46350804321412098</v>
      </c>
      <c r="H24" s="1" cm="1">
        <f t="array" ref="H24">_xlfn.IFS(D24&lt;=D$7/(1+$C$5),-1,D24&lt;=D$7*(1+$C$5),2*((1+$C$5)*D24-D$7)/($C$5*(D$7+D24))-1,TRUE,1)</f>
        <v>1</v>
      </c>
      <c r="I24" s="1" cm="1">
        <f t="array" ref="I24">_xlfn.IFS(E24&lt;=E$7/(1+$C$5),-1,E24&lt;=E$7*(1+$C$5),2*((1+$C$5)*E24-E$7)/($C$5*(E$7+E24))-1,TRUE,1)</f>
        <v>1</v>
      </c>
      <c r="J24" s="1">
        <f t="shared" si="0"/>
        <v>26.824597839293951</v>
      </c>
      <c r="K24" s="1" cm="1">
        <f t="array" ref="K24">_xlfn.IFS(C24&lt;=C$8/(1+$C$5),-1,C24&lt;=C$8*(1+$C$5),2*((1+$C$5)*C24-C$8)/($C$5*(C$8+C24))-1,TRUE,1)</f>
        <v>-0.44849489710718293</v>
      </c>
      <c r="L24" s="1" cm="1">
        <f t="array" ref="L24">_xlfn.IFS(D24&lt;=D$8/(1+$C$5),-1,D24&lt;=D$8*(1+$C$5),2*((1+$C$5)*D24-D$8)/($C$5*(D$8+D24))-1,TRUE,1)</f>
        <v>1</v>
      </c>
      <c r="M24" s="1" cm="1">
        <f t="array" ref="M24">_xlfn.IFS(E24&lt;=E$8/(1+$C$5),-1,E24&lt;=E$8*(1+$C$5),2*((1+$C$5)*E24-E$8)/($C$5*(E$8+E24))-1,TRUE,1)</f>
        <v>1</v>
      </c>
      <c r="N24" s="1">
        <f t="shared" si="1"/>
        <v>27.575255144640852</v>
      </c>
      <c r="O24" s="1" cm="1">
        <f t="array" ref="O24">_xlfn.IFS(C24&lt;=C$9/(1+$C$5),-1,C24&lt;=C$9*(1+$C$5),2*((1+$C$5)*C24-C$9)/($C$5*(C$9+C24))-1,TRUE,1)</f>
        <v>1</v>
      </c>
      <c r="P24" s="1" cm="1">
        <f t="array" ref="P24">_xlfn.IFS(D24&lt;=D$9/(1+$C$5),-1,D24&lt;=D$9*(1+$C$5),2*((1+$C$5)*D24-D$9)/($C$5*(D$9+D24))-1,TRUE,1)</f>
        <v>1</v>
      </c>
      <c r="Q24" s="1" cm="1">
        <f t="array" ref="Q24">_xlfn.IFS(E24&lt;=E$9/(1+$C$5),-1,E24&lt;=E$9*(1+$C$5),2*((1+$C$5)*E24-E$9)/($C$5*(E$9+E24))-1,TRUE,1)</f>
        <v>1</v>
      </c>
      <c r="R24" s="1">
        <f t="shared" si="2"/>
        <v>100</v>
      </c>
      <c r="S24" s="1" t="s">
        <v>10</v>
      </c>
      <c r="T24" t="str" cm="1">
        <f t="array" ref="T24">_xlfn.IFS(J24&gt;=0,"A",N24&gt;=0,"B+",R24&gt;=0,"B",TRUE,"C")</f>
        <v>A</v>
      </c>
      <c r="U24" s="3"/>
      <c r="V24" cm="1">
        <f t="array" ref="V24">_xlfn.IFS(J24&gt;=0,1,N24&gt;=0,2,R24&gt;=0,3,TRUE,4)</f>
        <v>1</v>
      </c>
      <c r="W24" cm="1">
        <f t="array" ref="W24">_xlfn.IFS(U24="",V24,U24="A",1,U24="B+",2,U24="B",3,TRUE,4)</f>
        <v>1</v>
      </c>
      <c r="X24" s="1">
        <f t="shared" si="3"/>
        <v>0</v>
      </c>
    </row>
    <row r="25" spans="1:24" x14ac:dyDescent="0.2">
      <c r="A25" t="s">
        <v>48</v>
      </c>
      <c r="B25" t="s">
        <v>39</v>
      </c>
      <c r="C25" s="1">
        <v>323.70999999999998</v>
      </c>
      <c r="D25" s="1">
        <v>58.91</v>
      </c>
      <c r="E25" s="1">
        <v>32.5</v>
      </c>
      <c r="F25" s="1">
        <v>28.43</v>
      </c>
      <c r="G25" s="1" cm="1">
        <f t="array" ref="G25">_xlfn.IFS(C25&lt;=C$7/(1+$C$5),-1,C25&lt;=C$7*(1+$C$5),2*((1+$C$5)*C25-C$7)/($C$5*(C$7+C25))-1,TRUE,1)</f>
        <v>7.7282681557461652E-2</v>
      </c>
      <c r="H25" s="1" cm="1">
        <f t="array" ref="H25">_xlfn.IFS(D25&lt;=D$7/(1+$C$5),-1,D25&lt;=D$7*(1+$C$5),2*((1+$C$5)*D25-D$7)/($C$5*(D$7+D25))-1,TRUE,1)</f>
        <v>1</v>
      </c>
      <c r="I25" s="1" cm="1">
        <f t="array" ref="I25">_xlfn.IFS(E25&lt;=E$7/(1+$C$5),-1,E25&lt;=E$7*(1+$C$5),2*((1+$C$5)*E25-E$7)/($C$5*(E$7+E25))-1,TRUE,1)</f>
        <v>-1</v>
      </c>
      <c r="J25" s="1">
        <f t="shared" si="0"/>
        <v>23.864134077873082</v>
      </c>
      <c r="K25" s="1" cm="1">
        <f t="array" ref="K25">_xlfn.IFS(C25&lt;=C$8/(1+$C$5),-1,C25&lt;=C$8*(1+$C$5),2*((1+$C$5)*C25-C$8)/($C$5*(C$8+C25))-1,TRUE,1)</f>
        <v>9.2347298848596493E-2</v>
      </c>
      <c r="L25" s="1" cm="1">
        <f t="array" ref="L25">_xlfn.IFS(D25&lt;=D$8/(1+$C$5),-1,D25&lt;=D$8*(1+$C$5),2*((1+$C$5)*D25-D$8)/($C$5*(D$8+D25))-1,TRUE,1)</f>
        <v>1</v>
      </c>
      <c r="M25" s="1" cm="1">
        <f t="array" ref="M25">_xlfn.IFS(E25&lt;=E$8/(1+$C$5),-1,E25&lt;=E$8*(1+$C$5),2*((1+$C$5)*E25-E$8)/($C$5*(E$8+E25))-1,TRUE,1)</f>
        <v>-1</v>
      </c>
      <c r="N25" s="1">
        <f t="shared" si="1"/>
        <v>24.617364942429823</v>
      </c>
      <c r="O25" s="1" cm="1">
        <f t="array" ref="O25">_xlfn.IFS(C25&lt;=C$9/(1+$C$5),-1,C25&lt;=C$9*(1+$C$5),2*((1+$C$5)*C25-C$9)/($C$5*(C$9+C25))-1,TRUE,1)</f>
        <v>1</v>
      </c>
      <c r="P25" s="1" cm="1">
        <f t="array" ref="P25">_xlfn.IFS(D25&lt;=D$9/(1+$C$5),-1,D25&lt;=D$9*(1+$C$5),2*((1+$C$5)*D25-D$9)/($C$5*(D$9+D25))-1,TRUE,1)</f>
        <v>1</v>
      </c>
      <c r="Q25" s="1" cm="1">
        <f t="array" ref="Q25">_xlfn.IFS(E25&lt;=E$9/(1+$C$5),-1,E25&lt;=E$9*(1+$C$5),2*((1+$C$5)*E25-E$9)/($C$5*(E$9+E25))-1,TRUE,1)</f>
        <v>-0.1833952838921975</v>
      </c>
      <c r="R25" s="1">
        <f t="shared" si="2"/>
        <v>82.249070741617032</v>
      </c>
      <c r="S25" s="1" t="s">
        <v>10</v>
      </c>
      <c r="T25" t="str" cm="1">
        <f t="array" ref="T25">_xlfn.IFS(J25&gt;=0,"A",N25&gt;=0,"B+",R25&gt;=0,"B",TRUE,"C")</f>
        <v>A</v>
      </c>
      <c r="U25" s="3"/>
      <c r="V25" cm="1">
        <f t="array" ref="V25">_xlfn.IFS(J25&gt;=0,1,N25&gt;=0,2,R25&gt;=0,3,TRUE,4)</f>
        <v>1</v>
      </c>
      <c r="W25" cm="1">
        <f t="array" ref="W25">_xlfn.IFS(U25="",V25,U25="A",1,U25="B+",2,U25="B",3,TRUE,4)</f>
        <v>1</v>
      </c>
      <c r="X25" s="1">
        <f t="shared" si="3"/>
        <v>0</v>
      </c>
    </row>
    <row r="26" spans="1:24" x14ac:dyDescent="0.2">
      <c r="A26" t="s">
        <v>53</v>
      </c>
      <c r="B26" t="s">
        <v>39</v>
      </c>
      <c r="C26" s="1">
        <v>406.66</v>
      </c>
      <c r="D26" s="1">
        <v>11.3</v>
      </c>
      <c r="E26" s="1">
        <v>45</v>
      </c>
      <c r="F26" s="1">
        <v>31.1</v>
      </c>
      <c r="G26" s="1" cm="1">
        <f t="array" ref="G26">_xlfn.IFS(C26&lt;=C$7/(1+$C$5),-1,C26&lt;=C$7*(1+$C$5),2*((1+$C$5)*C26-C$7)/($C$5*(C$7+C26))-1,TRUE,1)</f>
        <v>0.94679776688396466</v>
      </c>
      <c r="H26" s="1" cm="1">
        <f t="array" ref="H26">_xlfn.IFS(D26&lt;=D$7/(1+$C$5),-1,D26&lt;=D$7*(1+$C$5),2*((1+$C$5)*D26-D$7)/($C$5*(D$7+D26))-1,TRUE,1)</f>
        <v>-0.27475645205728616</v>
      </c>
      <c r="I26" s="1" cm="1">
        <f t="array" ref="I26">_xlfn.IFS(E26&lt;=E$7/(1+$C$5),-1,E26&lt;=E$7*(1+$C$5),2*((1+$C$5)*E26-E$7)/($C$5*(E$7+E26))-1,TRUE,1)</f>
        <v>-1</v>
      </c>
      <c r="J26" s="1">
        <f t="shared" si="0"/>
        <v>22.723412522193222</v>
      </c>
      <c r="K26" s="1" cm="1">
        <f t="array" ref="K26">_xlfn.IFS(C26&lt;=C$8/(1+$C$5),-1,C26&lt;=C$8*(1+$C$5),2*((1+$C$5)*C26-C$8)/($C$5*(C$8+C26))-1,TRUE,1)</f>
        <v>0.96163076785556734</v>
      </c>
      <c r="L26" s="1" cm="1">
        <f t="array" ref="L26">_xlfn.IFS(D26&lt;=D$8/(1+$C$5),-1,D26&lt;=D$8*(1+$C$5),2*((1+$C$5)*D26-D$8)/($C$5*(D$8+D26))-1,TRUE,1)</f>
        <v>-0.21520417748079101</v>
      </c>
      <c r="M26" s="1" cm="1">
        <f t="array" ref="M26">_xlfn.IFS(E26&lt;=E$8/(1+$C$5),-1,E26&lt;=E$8*(1+$C$5),2*((1+$C$5)*E26-E$8)/($C$5*(E$8+E26))-1,TRUE,1)</f>
        <v>-0.50016616136474634</v>
      </c>
      <c r="N26" s="1">
        <f t="shared" si="1"/>
        <v>33.046899760479491</v>
      </c>
      <c r="O26" s="1" cm="1">
        <f t="array" ref="O26">_xlfn.IFS(C26&lt;=C$9/(1+$C$5),-1,C26&lt;=C$9*(1+$C$5),2*((1+$C$5)*C26-C$9)/($C$5*(C$9+C26))-1,TRUE,1)</f>
        <v>1</v>
      </c>
      <c r="P26" s="1" cm="1">
        <f t="array" ref="P26">_xlfn.IFS(D26&lt;=D$9/(1+$C$5),-1,D26&lt;=D$9*(1+$C$5),2*((1+$C$5)*D26-D$9)/($C$5*(D$9+D26))-1,TRUE,1)</f>
        <v>-0.15686087221235823</v>
      </c>
      <c r="Q26" s="1" cm="1">
        <f t="array" ref="Q26">_xlfn.IFS(E26&lt;=E$9/(1+$C$5),-1,E26&lt;=E$9*(1+$C$5),2*((1+$C$5)*E26-E$9)/($C$5*(E$9+E26))-1,TRUE,1)</f>
        <v>1</v>
      </c>
      <c r="R26" s="1">
        <f t="shared" si="2"/>
        <v>59.509869472567459</v>
      </c>
      <c r="S26" s="1" t="s">
        <v>10</v>
      </c>
      <c r="T26" t="str" cm="1">
        <f t="array" ref="T26">_xlfn.IFS(J26&gt;=0,"A",N26&gt;=0,"B+",R26&gt;=0,"B",TRUE,"C")</f>
        <v>A</v>
      </c>
      <c r="U26" s="3"/>
      <c r="V26" cm="1">
        <f t="array" ref="V26">_xlfn.IFS(J26&gt;=0,1,N26&gt;=0,2,R26&gt;=0,3,TRUE,4)</f>
        <v>1</v>
      </c>
      <c r="W26" cm="1">
        <f t="array" ref="W26">_xlfn.IFS(U26="",V26,U26="A",1,U26="B+",2,U26="B",3,TRUE,4)</f>
        <v>1</v>
      </c>
      <c r="X26" s="1">
        <f t="shared" si="3"/>
        <v>0</v>
      </c>
    </row>
    <row r="27" spans="1:24" x14ac:dyDescent="0.2">
      <c r="A27" t="s">
        <v>49</v>
      </c>
      <c r="B27" t="s">
        <v>39</v>
      </c>
      <c r="C27" s="1">
        <v>303.05</v>
      </c>
      <c r="D27" s="1">
        <v>34.26</v>
      </c>
      <c r="E27" s="1">
        <v>55</v>
      </c>
      <c r="F27" s="1">
        <v>164.99</v>
      </c>
      <c r="G27" s="1" cm="1">
        <f t="array" ref="G27">_xlfn.IFS(C27&lt;=C$7/(1+$C$5),-1,C27&lt;=C$7*(1+$C$5),2*((1+$C$5)*C27-C$7)/($C$5*(C$7+C27))-1,TRUE,1)</f>
        <v>-0.17545735448144661</v>
      </c>
      <c r="H27" s="1" cm="1">
        <f t="array" ref="H27">_xlfn.IFS(D27&lt;=D$7/(1+$C$5),-1,D27&lt;=D$7*(1+$C$5),2*((1+$C$5)*D27-D$7)/($C$5*(D$7+D27))-1,TRUE,1)</f>
        <v>1</v>
      </c>
      <c r="I27" s="1" cm="1">
        <f t="array" ref="I27">_xlfn.IFS(E27&lt;=E$7/(1+$C$5),-1,E27&lt;=E$7*(1+$C$5),2*((1+$C$5)*E27-E$7)/($C$5*(E$7+E27))-1,TRUE,1)</f>
        <v>-1</v>
      </c>
      <c r="J27" s="1">
        <f t="shared" si="0"/>
        <v>11.227132275927669</v>
      </c>
      <c r="K27" s="1" cm="1">
        <f t="array" ref="K27">_xlfn.IFS(C27&lt;=C$8/(1+$C$5),-1,C27&lt;=C$8*(1+$C$5),2*((1+$C$5)*C27-C$8)/($C$5*(C$8+C27))-1,TRUE,1)</f>
        <v>-0.16039812321607838</v>
      </c>
      <c r="L27" s="1" cm="1">
        <f t="array" ref="L27">_xlfn.IFS(D27&lt;=D$8/(1+$C$5),-1,D27&lt;=D$8*(1+$C$5),2*((1+$C$5)*D27-D$8)/($C$5*(D$8+D27))-1,TRUE,1)</f>
        <v>1</v>
      </c>
      <c r="M27" s="1" cm="1">
        <f t="array" ref="M27">_xlfn.IFS(E27&lt;=E$8/(1+$C$5),-1,E27&lt;=E$8*(1+$C$5),2*((1+$C$5)*E27-E$8)/($C$5*(E$8+E27))-1,TRUE,1)</f>
        <v>0.26814100895797655</v>
      </c>
      <c r="N27" s="1">
        <f t="shared" si="1"/>
        <v>31.002208973565729</v>
      </c>
      <c r="O27" s="1" cm="1">
        <f t="array" ref="O27">_xlfn.IFS(C27&lt;=C$9/(1+$C$5),-1,C27&lt;=C$9*(1+$C$5),2*((1+$C$5)*C27-C$9)/($C$5*(C$9+C27))-1,TRUE,1)</f>
        <v>1</v>
      </c>
      <c r="P27" s="1" cm="1">
        <f t="array" ref="P27">_xlfn.IFS(D27&lt;=D$9/(1+$C$5),-1,D27&lt;=D$9*(1+$C$5),2*((1+$C$5)*D27-D$9)/($C$5*(D$9+D27))-1,TRUE,1)</f>
        <v>1</v>
      </c>
      <c r="Q27" s="1" cm="1">
        <f t="array" ref="Q27">_xlfn.IFS(E27&lt;=E$9/(1+$C$5),-1,E27&lt;=E$9*(1+$C$5),2*((1+$C$5)*E27-E$9)/($C$5*(E$9+E27))-1,TRUE,1)</f>
        <v>1</v>
      </c>
      <c r="R27" s="1">
        <f t="shared" si="2"/>
        <v>100</v>
      </c>
      <c r="S27" s="1" t="s">
        <v>10</v>
      </c>
      <c r="T27" t="str" cm="1">
        <f t="array" ref="T27">_xlfn.IFS(J27&gt;=0,"A",N27&gt;=0,"B+",R27&gt;=0,"B",TRUE,"C")</f>
        <v>A</v>
      </c>
      <c r="U27" s="3"/>
      <c r="V27" cm="1">
        <f t="array" ref="V27">_xlfn.IFS(J27&gt;=0,1,N27&gt;=0,2,R27&gt;=0,3,TRUE,4)</f>
        <v>1</v>
      </c>
      <c r="W27" cm="1">
        <f t="array" ref="W27">_xlfn.IFS(U27="",V27,U27="A",1,U27="B+",2,U27="B",3,TRUE,4)</f>
        <v>1</v>
      </c>
      <c r="X27" s="1">
        <f t="shared" si="3"/>
        <v>0</v>
      </c>
    </row>
    <row r="28" spans="1:24" x14ac:dyDescent="0.2">
      <c r="A28" t="s">
        <v>55</v>
      </c>
      <c r="B28" t="s">
        <v>39</v>
      </c>
      <c r="C28" s="1">
        <v>427.8</v>
      </c>
      <c r="D28" s="1">
        <v>10</v>
      </c>
      <c r="E28" s="1">
        <v>30</v>
      </c>
      <c r="F28" s="1">
        <v>16.8</v>
      </c>
      <c r="G28" s="1" cm="1">
        <f t="array" ref="G28">_xlfn.IFS(C28&lt;=C$7/(1+$C$5),-1,C28&lt;=C$7*(1+$C$5),2*((1+$C$5)*C28-C$7)/($C$5*(C$7+C28))-1,TRUE,1)</f>
        <v>1</v>
      </c>
      <c r="H28" s="1" cm="1">
        <f t="array" ref="H28">_xlfn.IFS(D28&lt;=D$7/(1+$C$5),-1,D28&lt;=D$7*(1+$C$5),2*((1+$C$5)*D28-D$7)/($C$5*(D$7+D28))-1,TRUE,1)</f>
        <v>-0.74098752470808082</v>
      </c>
      <c r="I28" s="1" cm="1">
        <f t="array" ref="I28">_xlfn.IFS(E28&lt;=E$7/(1+$C$5),-1,E28&lt;=E$7*(1+$C$5),2*((1+$C$5)*E28-E$7)/($C$5*(E$7+E28))-1,TRUE,1)</f>
        <v>-1</v>
      </c>
      <c r="J28" s="1">
        <f t="shared" si="0"/>
        <v>9.0654366352171714</v>
      </c>
      <c r="K28" s="1" cm="1">
        <f t="array" ref="K28">_xlfn.IFS(C28&lt;=C$8/(1+$C$5),-1,C28&lt;=C$8*(1+$C$5),2*((1+$C$5)*C28-C$8)/($C$5*(C$8+C28))-1,TRUE,1)</f>
        <v>1</v>
      </c>
      <c r="L28" s="1" cm="1">
        <f t="array" ref="L28">_xlfn.IFS(D28&lt;=D$8/(1+$C$5),-1,D28&lt;=D$8*(1+$C$5),2*((1+$C$5)*D28-D$8)/($C$5*(D$8+D28))-1,TRUE,1)</f>
        <v>-0.68188785454087153</v>
      </c>
      <c r="M28" s="1" cm="1">
        <f t="array" ref="M28">_xlfn.IFS(E28&lt;=E$8/(1+$C$5),-1,E28&lt;=E$8*(1+$C$5),2*((1+$C$5)*E28-E$8)/($C$5*(E$8+E28))-1,TRUE,1)</f>
        <v>-1</v>
      </c>
      <c r="N28" s="1">
        <f t="shared" si="1"/>
        <v>11.133925091069496</v>
      </c>
      <c r="O28" s="1" cm="1">
        <f t="array" ref="O28">_xlfn.IFS(C28&lt;=C$9/(1+$C$5),-1,C28&lt;=C$9*(1+$C$5),2*((1+$C$5)*C28-C$9)/($C$5*(C$9+C28))-1,TRUE,1)</f>
        <v>1</v>
      </c>
      <c r="P28" s="1" cm="1">
        <f t="array" ref="P28">_xlfn.IFS(D28&lt;=D$9/(1+$C$5),-1,D28&lt;=D$9*(1+$C$5),2*((1+$C$5)*D28-D$9)/($C$5*(D$9+D28))-1,TRUE,1)</f>
        <v>-0.62393368383118264</v>
      </c>
      <c r="Q28" s="1" cm="1">
        <f t="array" ref="Q28">_xlfn.IFS(E28&lt;=E$9/(1+$C$5),-1,E28&lt;=E$9*(1+$C$5),2*((1+$C$5)*E28-E$9)/($C$5*(E$9+E28))-1,TRUE,1)</f>
        <v>-0.48954983177439149</v>
      </c>
      <c r="R28" s="1">
        <f t="shared" si="2"/>
        <v>20.819073589292735</v>
      </c>
      <c r="S28" s="1" t="s">
        <v>10</v>
      </c>
      <c r="T28" t="str" cm="1">
        <f t="array" ref="T28">_xlfn.IFS(J28&gt;=0,"A",N28&gt;=0,"B+",R28&gt;=0,"B",TRUE,"C")</f>
        <v>A</v>
      </c>
      <c r="U28" s="3"/>
      <c r="V28" cm="1">
        <f t="array" ref="V28">_xlfn.IFS(J28&gt;=0,1,N28&gt;=0,2,R28&gt;=0,3,TRUE,4)</f>
        <v>1</v>
      </c>
      <c r="W28" cm="1">
        <f t="array" ref="W28">_xlfn.IFS(U28="",V28,U28="A",1,U28="B+",2,U28="B",3,TRUE,4)</f>
        <v>1</v>
      </c>
      <c r="X28" s="1">
        <f t="shared" si="3"/>
        <v>0</v>
      </c>
    </row>
    <row r="29" spans="1:24" x14ac:dyDescent="0.2">
      <c r="A29" t="s">
        <v>66</v>
      </c>
      <c r="B29" t="s">
        <v>39</v>
      </c>
      <c r="C29" s="1">
        <v>277.77999999999997</v>
      </c>
      <c r="D29" s="1">
        <v>14.38</v>
      </c>
      <c r="E29" s="1">
        <v>80</v>
      </c>
      <c r="F29" s="1">
        <v>169.57</v>
      </c>
      <c r="G29" s="1" cm="1">
        <f t="array" ref="G29">_xlfn.IFS(C29&lt;=C$7/(1+$C$5),-1,C29&lt;=C$7*(1+$C$5),2*((1+$C$5)*C29-C$7)/($C$5*(C$7+C29))-1,TRUE,1)</f>
        <v>-0.5084549807200589</v>
      </c>
      <c r="H29" s="1" cm="1">
        <f t="array" ref="H29">_xlfn.IFS(D29&lt;=D$7/(1+$C$5),-1,D29&lt;=D$7*(1+$C$5),2*((1+$C$5)*D29-D$7)/($C$5*(D$7+D29))-1,TRUE,1)</f>
        <v>0.64741825112884355</v>
      </c>
      <c r="I29" s="1" cm="1">
        <f t="array" ref="I29">_xlfn.IFS(E29&lt;=E$7/(1+$C$5),-1,E29&lt;=E$7*(1+$C$5),2*((1+$C$5)*E29-E$7)/($C$5*(E$7+E29))-1,TRUE,1)</f>
        <v>0.25128498918581443</v>
      </c>
      <c r="J29" s="1">
        <f t="shared" si="0"/>
        <v>1.006164591293798</v>
      </c>
      <c r="K29" s="1" cm="1">
        <f t="array" ref="K29">_xlfn.IFS(C29&lt;=C$8/(1+$C$5),-1,C29&lt;=C$8*(1+$C$5),2*((1+$C$5)*C29-C$8)/($C$5*(C$8+C29))-1,TRUE,1)</f>
        <v>-0.49345286440180169</v>
      </c>
      <c r="L29" s="1" cm="1">
        <f t="array" ref="L29">_xlfn.IFS(D29&lt;=D$8/(1+$C$5),-1,D29&lt;=D$8*(1+$C$5),2*((1+$C$5)*D29-D$8)/($C$5*(D$8+D29))-1,TRUE,1)</f>
        <v>0.70656644048731532</v>
      </c>
      <c r="M29" s="1" cm="1">
        <f t="array" ref="M29">_xlfn.IFS(E29&lt;=E$8/(1+$C$5),-1,E29&lt;=E$8*(1+$C$5),2*((1+$C$5)*E29-E$8)/($C$5*(E$8+E29))-1,TRUE,1)</f>
        <v>1</v>
      </c>
      <c r="N29" s="1">
        <f t="shared" si="1"/>
        <v>15.057182196965954</v>
      </c>
      <c r="O29" s="1" cm="1">
        <f t="array" ref="O29">_xlfn.IFS(C29&lt;=C$9/(1+$C$5),-1,C29&lt;=C$9*(1+$C$5),2*((1+$C$5)*C29-C$9)/($C$5*(C$9+C29))-1,TRUE,1)</f>
        <v>1</v>
      </c>
      <c r="P29" s="1" cm="1">
        <f t="array" ref="P29">_xlfn.IFS(D29&lt;=D$9/(1+$C$5),-1,D29&lt;=D$9*(1+$C$5),2*((1+$C$5)*D29-D$9)/($C$5*(D$9+D29))-1,TRUE,1)</f>
        <v>0.76440670952525314</v>
      </c>
      <c r="Q29" s="1" cm="1">
        <f t="array" ref="Q29">_xlfn.IFS(E29&lt;=E$9/(1+$C$5),-1,E29&lt;=E$9*(1+$C$5),2*((1+$C$5)*E29-E$9)/($C$5*(E$9+E29))-1,TRUE,1)</f>
        <v>1</v>
      </c>
      <c r="R29" s="1">
        <f t="shared" si="2"/>
        <v>91.754234833383862</v>
      </c>
      <c r="S29" s="1" t="s">
        <v>15</v>
      </c>
      <c r="T29" t="str" cm="1">
        <f t="array" ref="T29">_xlfn.IFS(J29&gt;=0,"A",N29&gt;=0,"B+",R29&gt;=0,"B",TRUE,"C")</f>
        <v>A</v>
      </c>
      <c r="U29" s="3" t="s">
        <v>10</v>
      </c>
      <c r="V29" cm="1">
        <f t="array" ref="V29">_xlfn.IFS(J29&gt;=0,1,N29&gt;=0,2,R29&gt;=0,3,TRUE,4)</f>
        <v>1</v>
      </c>
      <c r="W29" cm="1">
        <f t="array" ref="W29">_xlfn.IFS(U29="",V29,U29="A",1,U29="B+",2,U29="B",3,TRUE,4)</f>
        <v>1</v>
      </c>
      <c r="X29" s="1">
        <f t="shared" si="3"/>
        <v>0</v>
      </c>
    </row>
    <row r="30" spans="1:24" x14ac:dyDescent="0.2">
      <c r="A30" t="s">
        <v>54</v>
      </c>
      <c r="B30" t="s">
        <v>39</v>
      </c>
      <c r="C30" s="1">
        <v>480.9</v>
      </c>
      <c r="D30" s="1">
        <v>0</v>
      </c>
      <c r="E30" s="1">
        <v>0</v>
      </c>
      <c r="F30" s="1">
        <v>13.4</v>
      </c>
      <c r="G30" s="1" cm="1">
        <f t="array" ref="G30">_xlfn.IFS(C30&lt;=C$7/(1+$C$5),-1,C30&lt;=C$7*(1+$C$5),2*((1+$C$5)*C30-C$7)/($C$5*(C$7+C30))-1,TRUE,1)</f>
        <v>1</v>
      </c>
      <c r="H30" s="1" cm="1">
        <f t="array" ref="H30">_xlfn.IFS(D30&lt;=D$7/(1+$C$5),-1,D30&lt;=D$7*(1+$C$5),2*((1+$C$5)*D30-D$7)/($C$5*(D$7+D30))-1,TRUE,1)</f>
        <v>-1</v>
      </c>
      <c r="I30" s="1" cm="1">
        <f t="array" ref="I30">_xlfn.IFS(E30&lt;=E$7/(1+$C$5),-1,E30&lt;=E$7*(1+$C$5),2*((1+$C$5)*E30-E$7)/($C$5*(E$7+E30))-1,TRUE,1)</f>
        <v>-1</v>
      </c>
      <c r="J30" s="1">
        <f t="shared" si="0"/>
        <v>0</v>
      </c>
      <c r="K30" s="1" cm="1">
        <f t="array" ref="K30">_xlfn.IFS(C30&lt;=C$8/(1+$C$5),-1,C30&lt;=C$8*(1+$C$5),2*((1+$C$5)*C30-C$8)/($C$5*(C$8+C30))-1,TRUE,1)</f>
        <v>1</v>
      </c>
      <c r="L30" s="1" cm="1">
        <f t="array" ref="L30">_xlfn.IFS(D30&lt;=D$8/(1+$C$5),-1,D30&lt;=D$8*(1+$C$5),2*((1+$C$5)*D30-D$8)/($C$5*(D$8+D30))-1,TRUE,1)</f>
        <v>-1</v>
      </c>
      <c r="M30" s="1" cm="1">
        <f t="array" ref="M30">_xlfn.IFS(E30&lt;=E$8/(1+$C$5),-1,E30&lt;=E$8*(1+$C$5),2*((1+$C$5)*E30-E$8)/($C$5*(E$8+E30))-1,TRUE,1)</f>
        <v>-1</v>
      </c>
      <c r="N30" s="1">
        <f t="shared" si="1"/>
        <v>0</v>
      </c>
      <c r="O30" s="1" cm="1">
        <f t="array" ref="O30">_xlfn.IFS(C30&lt;=C$9/(1+$C$5),-1,C30&lt;=C$9*(1+$C$5),2*((1+$C$5)*C30-C$9)/($C$5*(C$9+C30))-1,TRUE,1)</f>
        <v>1</v>
      </c>
      <c r="P30" s="1" cm="1">
        <f t="array" ref="P30">_xlfn.IFS(D30&lt;=D$9/(1+$C$5),-1,D30&lt;=D$9*(1+$C$5),2*((1+$C$5)*D30-D$9)/($C$5*(D$9+D30))-1,TRUE,1)</f>
        <v>-1</v>
      </c>
      <c r="Q30" s="1" cm="1">
        <f t="array" ref="Q30">_xlfn.IFS(E30&lt;=E$9/(1+$C$5),-1,E30&lt;=E$9*(1+$C$5),2*((1+$C$5)*E30-E$9)/($C$5*(E$9+E30))-1,TRUE,1)</f>
        <v>-1</v>
      </c>
      <c r="R30" s="1">
        <f t="shared" si="2"/>
        <v>0</v>
      </c>
      <c r="S30" s="1" t="s">
        <v>10</v>
      </c>
      <c r="T30" t="str" cm="1">
        <f t="array" ref="T30">_xlfn.IFS(J30&gt;=0,"A",N30&gt;=0,"B+",R30&gt;=0,"B",TRUE,"C")</f>
        <v>A</v>
      </c>
      <c r="U30" s="3"/>
      <c r="V30" cm="1">
        <f t="array" ref="V30">_xlfn.IFS(J30&gt;=0,1,N30&gt;=0,2,R30&gt;=0,3,TRUE,4)</f>
        <v>1</v>
      </c>
      <c r="W30" cm="1">
        <f t="array" ref="W30">_xlfn.IFS(U30="",V30,U30="A",1,U30="B+",2,U30="B",3,TRUE,4)</f>
        <v>1</v>
      </c>
      <c r="X30" s="1">
        <f t="shared" si="3"/>
        <v>0</v>
      </c>
    </row>
    <row r="31" spans="1:24" x14ac:dyDescent="0.2">
      <c r="A31" t="s">
        <v>57</v>
      </c>
      <c r="B31" t="s">
        <v>39</v>
      </c>
      <c r="C31" s="1">
        <v>276.64</v>
      </c>
      <c r="D31" s="1">
        <v>22.49</v>
      </c>
      <c r="E31" s="1">
        <v>63</v>
      </c>
      <c r="F31" s="1">
        <v>34.200000000000003</v>
      </c>
      <c r="G31" s="1" cm="1">
        <f t="array" ref="G31">_xlfn.IFS(C31&lt;=C$7/(1+$C$5),-1,C31&lt;=C$7*(1+$C$5),2*((1+$C$5)*C31-C$7)/($C$5*(C$7+C31))-1,TRUE,1)</f>
        <v>-0.52414547330195771</v>
      </c>
      <c r="H31" s="1" cm="1">
        <f t="array" ref="H31">_xlfn.IFS(D31&lt;=D$7/(1+$C$5),-1,D31&lt;=D$7*(1+$C$5),2*((1+$C$5)*D31-D$7)/($C$5*(D$7+D31))-1,TRUE,1)</f>
        <v>1</v>
      </c>
      <c r="I31" s="1" cm="1">
        <f t="array" ref="I31">_xlfn.IFS(E31&lt;=E$7/(1+$C$5),-1,E31&lt;=E$7*(1+$C$5),2*((1+$C$5)*E31-E$7)/($C$5*(E$7+E31))-1,TRUE,1)</f>
        <v>-0.66258939212270285</v>
      </c>
      <c r="J31" s="1">
        <f t="shared" si="0"/>
        <v>-1.1461145469384295</v>
      </c>
      <c r="K31" s="1" cm="1">
        <f t="array" ref="K31">_xlfn.IFS(C31&lt;=C$8/(1+$C$5),-1,C31&lt;=C$8*(1+$C$5),2*((1+$C$5)*C31-C$8)/($C$5*(C$8+C31))-1,TRUE,1)</f>
        <v>-0.50914745140576234</v>
      </c>
      <c r="L31" s="1" cm="1">
        <f t="array" ref="L31">_xlfn.IFS(D31&lt;=D$8/(1+$C$5),-1,D31&lt;=D$8*(1+$C$5),2*((1+$C$5)*D31-D$8)/($C$5*(D$8+D31))-1,TRUE,1)</f>
        <v>1</v>
      </c>
      <c r="M31" s="1" cm="1">
        <f t="array" ref="M31">_xlfn.IFS(E31&lt;=E$8/(1+$C$5),-1,E31&lt;=E$8*(1+$C$5),2*((1+$C$5)*E31-E$8)/($C$5*(E$8+E31))-1,TRUE,1)</f>
        <v>0.78597711417734262</v>
      </c>
      <c r="N31" s="1">
        <f t="shared" si="1"/>
        <v>21.332284142372021</v>
      </c>
      <c r="O31" s="1" cm="1">
        <f t="array" ref="O31">_xlfn.IFS(C31&lt;=C$9/(1+$C$5),-1,C31&lt;=C$9*(1+$C$5),2*((1+$C$5)*C31-C$9)/($C$5*(C$9+C31))-1,TRUE,1)</f>
        <v>1</v>
      </c>
      <c r="P31" s="1" cm="1">
        <f t="array" ref="P31">_xlfn.IFS(D31&lt;=D$9/(1+$C$5),-1,D31&lt;=D$9*(1+$C$5),2*((1+$C$5)*D31-D$9)/($C$5*(D$9+D31))-1,TRUE,1)</f>
        <v>1</v>
      </c>
      <c r="Q31" s="1" cm="1">
        <f t="array" ref="Q31">_xlfn.IFS(E31&lt;=E$9/(1+$C$5),-1,E31&lt;=E$9*(1+$C$5),2*((1+$C$5)*E31-E$9)/($C$5*(E$9+E31))-1,TRUE,1)</f>
        <v>1</v>
      </c>
      <c r="R31" s="1">
        <f t="shared" si="2"/>
        <v>100</v>
      </c>
      <c r="S31" s="1" t="s">
        <v>15</v>
      </c>
      <c r="T31" t="str" cm="1">
        <f t="array" ref="T31">_xlfn.IFS(J31&gt;=0,"A",N31&gt;=0,"B+",R31&gt;=0,"B",TRUE,"C")</f>
        <v>B+</v>
      </c>
      <c r="U31" s="3"/>
      <c r="V31" cm="1">
        <f t="array" ref="V31">_xlfn.IFS(J31&gt;=0,1,N31&gt;=0,2,R31&gt;=0,3,TRUE,4)</f>
        <v>2</v>
      </c>
      <c r="W31" cm="1">
        <f t="array" ref="W31">_xlfn.IFS(U31="",V31,U31="A",1,U31="B+",2,U31="B",3,TRUE,4)</f>
        <v>2</v>
      </c>
      <c r="X31" s="1">
        <f t="shared" si="3"/>
        <v>0</v>
      </c>
    </row>
    <row r="32" spans="1:24" x14ac:dyDescent="0.2">
      <c r="A32" t="s">
        <v>56</v>
      </c>
      <c r="B32" t="s">
        <v>39</v>
      </c>
      <c r="C32" s="1">
        <v>400.93</v>
      </c>
      <c r="D32" s="1">
        <v>8.82</v>
      </c>
      <c r="E32" s="1">
        <v>18</v>
      </c>
      <c r="F32" s="1">
        <v>9.6999999999999993</v>
      </c>
      <c r="G32" s="1" cm="1">
        <f t="array" ref="G32">_xlfn.IFS(C32&lt;=C$7/(1+$C$5),-1,C32&lt;=C$7*(1+$C$5),2*((1+$C$5)*C32-C$7)/($C$5*(C$7+C32))-1,TRUE,1)</f>
        <v>0.8931918377516137</v>
      </c>
      <c r="H32" s="1" cm="1">
        <f t="array" ref="H32">_xlfn.IFS(D32&lt;=D$7/(1+$C$5),-1,D32&lt;=D$7*(1+$C$5),2*((1+$C$5)*D32-D$7)/($C$5*(D$7+D32))-1,TRUE,1)</f>
        <v>-1</v>
      </c>
      <c r="I32" s="1" cm="1">
        <f t="array" ref="I32">_xlfn.IFS(E32&lt;=E$7/(1+$C$5),-1,E32&lt;=E$7*(1+$C$5),2*((1+$C$5)*E32-E$7)/($C$5*(E$7+E32))-1,TRUE,1)</f>
        <v>-1</v>
      </c>
      <c r="J32" s="1">
        <f t="shared" si="0"/>
        <v>-5.3404081124193112</v>
      </c>
      <c r="K32" s="1" cm="1">
        <f t="array" ref="K32">_xlfn.IFS(C32&lt;=C$8/(1+$C$5),-1,C32&lt;=C$8*(1+$C$5),2*((1+$C$5)*C32-C$8)/($C$5*(C$8+C32))-1,TRUE,1)</f>
        <v>0.90805032679792141</v>
      </c>
      <c r="L32" s="1" cm="1">
        <f t="array" ref="L32">_xlfn.IFS(D32&lt;=D$8/(1+$C$5),-1,D32&lt;=D$8*(1+$C$5),2*((1+$C$5)*D32-D$8)/($C$5*(D$8+D32))-1,TRUE,1)</f>
        <v>-1</v>
      </c>
      <c r="M32" s="1" cm="1">
        <f t="array" ref="M32">_xlfn.IFS(E32&lt;=E$8/(1+$C$5),-1,E32&lt;=E$8*(1+$C$5),2*((1+$C$5)*E32-E$8)/($C$5*(E$8+E32))-1,TRUE,1)</f>
        <v>-1</v>
      </c>
      <c r="N32" s="1">
        <f t="shared" si="1"/>
        <v>-4.5974836601039328</v>
      </c>
      <c r="O32" s="1" cm="1">
        <f t="array" ref="O32">_xlfn.IFS(C32&lt;=C$9/(1+$C$5),-1,C32&lt;=C$9*(1+$C$5),2*((1+$C$5)*C32-C$9)/($C$5*(C$9+C32))-1,TRUE,1)</f>
        <v>1</v>
      </c>
      <c r="P32" s="1" cm="1">
        <f t="array" ref="P32">_xlfn.IFS(D32&lt;=D$9/(1+$C$5),-1,D32&lt;=D$9*(1+$C$5),2*((1+$C$5)*D32-D$9)/($C$5*(D$9+D32))-1,TRUE,1)</f>
        <v>-1</v>
      </c>
      <c r="Q32" s="1" cm="1">
        <f t="array" ref="Q32">_xlfn.IFS(E32&lt;=E$9/(1+$C$5),-1,E32&lt;=E$9*(1+$C$5),2*((1+$C$5)*E32-E$9)/($C$5*(E$9+E32))-1,TRUE,1)</f>
        <v>-1</v>
      </c>
      <c r="R32" s="1">
        <f t="shared" si="2"/>
        <v>0</v>
      </c>
      <c r="S32" s="1" t="s">
        <v>15</v>
      </c>
      <c r="T32" t="str" cm="1">
        <f t="array" ref="T32">_xlfn.IFS(J32&gt;=0,"A",N32&gt;=0,"B+",R32&gt;=0,"B",TRUE,"C")</f>
        <v>B</v>
      </c>
      <c r="U32" s="3"/>
      <c r="V32" cm="1">
        <f t="array" ref="V32">_xlfn.IFS(J32&gt;=0,1,N32&gt;=0,2,R32&gt;=0,3,TRUE,4)</f>
        <v>3</v>
      </c>
      <c r="W32" cm="1">
        <f t="array" ref="W32">_xlfn.IFS(U32="",V32,U32="A",1,U32="B+",2,U32="B",3,TRUE,4)</f>
        <v>3</v>
      </c>
      <c r="X32" s="1">
        <f t="shared" si="3"/>
        <v>0</v>
      </c>
    </row>
    <row r="33" spans="1:24" x14ac:dyDescent="0.2">
      <c r="A33" t="s">
        <v>57</v>
      </c>
      <c r="B33" t="s">
        <v>39</v>
      </c>
      <c r="C33" s="1">
        <v>354.87</v>
      </c>
      <c r="D33" s="1">
        <v>2.46</v>
      </c>
      <c r="E33" s="1">
        <v>70.5</v>
      </c>
      <c r="F33" s="1">
        <v>45.65</v>
      </c>
      <c r="G33" s="1" cm="1">
        <f t="array" ref="G33">_xlfn.IFS(C33&lt;=C$7/(1+$C$5),-1,C33&lt;=C$7*(1+$C$5),2*((1+$C$5)*C33-C$7)/($C$5*(C$7+C33))-1,TRUE,1)</f>
        <v>0.42908283891492149</v>
      </c>
      <c r="H33" s="1" cm="1">
        <f t="array" ref="H33">_xlfn.IFS(D33&lt;=D$7/(1+$C$5),-1,D33&lt;=D$7*(1+$C$5),2*((1+$C$5)*D33-D$7)/($C$5*(D$7+D33))-1,TRUE,1)</f>
        <v>-1</v>
      </c>
      <c r="I33" s="1" cm="1">
        <f t="array" ref="I33">_xlfn.IFS(E33&lt;=E$7/(1+$C$5),-1,E33&lt;=E$7*(1+$C$5),2*((1+$C$5)*E33-E$7)/($C$5*(E$7+E33))-1,TRUE,1)</f>
        <v>-0.23307085278966289</v>
      </c>
      <c r="J33" s="1">
        <f t="shared" si="0"/>
        <v>-17.041920846098868</v>
      </c>
      <c r="K33" s="1" cm="1">
        <f t="array" ref="K33">_xlfn.IFS(C33&lt;=C$8/(1+$C$5),-1,C33&lt;=C$8*(1+$C$5),2*((1+$C$5)*C33-C$8)/($C$5*(C$8+C33))-1,TRUE,1)</f>
        <v>0.44410042721590459</v>
      </c>
      <c r="L33" s="1" cm="1">
        <f t="array" ref="L33">_xlfn.IFS(D33&lt;=D$8/(1+$C$5),-1,D33&lt;=D$8*(1+$C$5),2*((1+$C$5)*D33-D$8)/($C$5*(D$8+D33))-1,TRUE,1)</f>
        <v>-1</v>
      </c>
      <c r="M33" s="1" cm="1">
        <f t="array" ref="M33">_xlfn.IFS(E33&lt;=E$8/(1+$C$5),-1,E33&lt;=E$8*(1+$C$5),2*((1+$C$5)*E33-E$8)/($C$5*(E$8+E33))-1,TRUE,1)</f>
        <v>1</v>
      </c>
      <c r="N33" s="1">
        <f t="shared" si="1"/>
        <v>2.2050213607952287</v>
      </c>
      <c r="O33" s="1" cm="1">
        <f t="array" ref="O33">_xlfn.IFS(C33&lt;=C$9/(1+$C$5),-1,C33&lt;=C$9*(1+$C$5),2*((1+$C$5)*C33-C$9)/($C$5*(C$9+C33))-1,TRUE,1)</f>
        <v>1</v>
      </c>
      <c r="P33" s="1" cm="1">
        <f t="array" ref="P33">_xlfn.IFS(D33&lt;=D$9/(1+$C$5),-1,D33&lt;=D$9*(1+$C$5),2*((1+$C$5)*D33-D$9)/($C$5*(D$9+D33))-1,TRUE,1)</f>
        <v>-1</v>
      </c>
      <c r="Q33" s="1" cm="1">
        <f t="array" ref="Q33">_xlfn.IFS(E33&lt;=E$9/(1+$C$5),-1,E33&lt;=E$9*(1+$C$5),2*((1+$C$5)*E33-E$9)/($C$5*(E$9+E33))-1,TRUE,1)</f>
        <v>1</v>
      </c>
      <c r="R33" s="1">
        <f t="shared" si="2"/>
        <v>30</v>
      </c>
      <c r="S33" s="1" t="s">
        <v>15</v>
      </c>
      <c r="T33" t="str" cm="1">
        <f t="array" ref="T33">_xlfn.IFS(J33&gt;=0,"A",N33&gt;=0,"B+",R33&gt;=0,"B",TRUE,"C")</f>
        <v>B+</v>
      </c>
      <c r="U33" s="3"/>
      <c r="V33" cm="1">
        <f t="array" ref="V33">_xlfn.IFS(J33&gt;=0,1,N33&gt;=0,2,R33&gt;=0,3,TRUE,4)</f>
        <v>2</v>
      </c>
      <c r="W33" cm="1">
        <f t="array" ref="W33">_xlfn.IFS(U33="",V33,U33="A",1,U33="B+",2,U33="B",3,TRUE,4)</f>
        <v>2</v>
      </c>
      <c r="X33" s="1">
        <f t="shared" si="3"/>
        <v>0</v>
      </c>
    </row>
    <row r="34" spans="1:24" x14ac:dyDescent="0.2">
      <c r="A34" t="s">
        <v>59</v>
      </c>
      <c r="B34" t="s">
        <v>39</v>
      </c>
      <c r="C34" s="1">
        <v>177.25</v>
      </c>
      <c r="D34" s="1">
        <v>120.4</v>
      </c>
      <c r="E34" s="1">
        <v>71.5</v>
      </c>
      <c r="F34" s="1">
        <v>16.53</v>
      </c>
      <c r="G34" s="1" cm="1">
        <f t="array" ref="G34">_xlfn.IFS(C34&lt;=C$7/(1+$C$5),-1,C34&lt;=C$7*(1+$C$5),2*((1+$C$5)*C34-C$7)/($C$5*(C$7+C34))-1,TRUE,1)</f>
        <v>-1</v>
      </c>
      <c r="H34" s="1" cm="1">
        <f t="array" ref="H34">_xlfn.IFS(D34&lt;=D$7/(1+$C$5),-1,D34&lt;=D$7*(1+$C$5),2*((1+$C$5)*D34-D$7)/($C$5*(D$7+D34))-1,TRUE,1)</f>
        <v>1</v>
      </c>
      <c r="I34" s="1" cm="1">
        <f t="array" ref="I34">_xlfn.IFS(E34&lt;=E$7/(1+$C$5),-1,E34&lt;=E$7*(1+$C$5),2*((1+$C$5)*E34-E$7)/($C$5*(E$7+E34))-1,TRUE,1)</f>
        <v>-0.17912627790187374</v>
      </c>
      <c r="J34" s="1">
        <f t="shared" si="0"/>
        <v>-17.686894168528106</v>
      </c>
      <c r="K34" s="1" cm="1">
        <f t="array" ref="K34">_xlfn.IFS(C34&lt;=C$8/(1+$C$5),-1,C34&lt;=C$8*(1+$C$5),2*((1+$C$5)*C34-C$8)/($C$5*(C$8+C34))-1,TRUE,1)</f>
        <v>-1</v>
      </c>
      <c r="L34" s="1" cm="1">
        <f t="array" ref="L34">_xlfn.IFS(D34&lt;=D$8/(1+$C$5),-1,D34&lt;=D$8*(1+$C$5),2*((1+$C$5)*D34-D$8)/($C$5*(D$8+D34))-1,TRUE,1)</f>
        <v>1</v>
      </c>
      <c r="M34" s="1" cm="1">
        <f t="array" ref="M34">_xlfn.IFS(E34&lt;=E$8/(1+$C$5),-1,E34&lt;=E$8*(1+$C$5),2*((1+$C$5)*E34-E$8)/($C$5*(E$8+E34))-1,TRUE,1)</f>
        <v>1</v>
      </c>
      <c r="N34" s="1">
        <f t="shared" si="1"/>
        <v>0</v>
      </c>
      <c r="O34" s="1" cm="1">
        <f t="array" ref="O34">_xlfn.IFS(C34&lt;=C$9/(1+$C$5),-1,C34&lt;=C$9*(1+$C$5),2*((1+$C$5)*C34-C$9)/($C$5*(C$9+C34))-1,TRUE,1)</f>
        <v>0.89380921217087628</v>
      </c>
      <c r="P34" s="1" cm="1">
        <f t="array" ref="P34">_xlfn.IFS(D34&lt;=D$9/(1+$C$5),-1,D34&lt;=D$9*(1+$C$5),2*((1+$C$5)*D34-D$9)/($C$5*(D$9+D34))-1,TRUE,1)</f>
        <v>1</v>
      </c>
      <c r="Q34" s="1" cm="1">
        <f t="array" ref="Q34">_xlfn.IFS(E34&lt;=E$9/(1+$C$5),-1,E34&lt;=E$9*(1+$C$5),2*((1+$C$5)*E34-E$9)/($C$5*(E$9+E34))-1,TRUE,1)</f>
        <v>1</v>
      </c>
      <c r="R34" s="1">
        <f t="shared" si="2"/>
        <v>94.690460608543816</v>
      </c>
      <c r="S34" s="1" t="s">
        <v>15</v>
      </c>
      <c r="T34" t="str" cm="1">
        <f t="array" ref="T34">_xlfn.IFS(J34&gt;=0,"A",N34&gt;=0,"B+",R34&gt;=0,"B",TRUE,"C")</f>
        <v>B+</v>
      </c>
      <c r="U34" s="3"/>
      <c r="V34" cm="1">
        <f t="array" ref="V34">_xlfn.IFS(J34&gt;=0,1,N34&gt;=0,2,R34&gt;=0,3,TRUE,4)</f>
        <v>2</v>
      </c>
      <c r="W34" cm="1">
        <f t="array" ref="W34">_xlfn.IFS(U34="",V34,U34="A",1,U34="B+",2,U34="B",3,TRUE,4)</f>
        <v>2</v>
      </c>
      <c r="X34" s="1">
        <f t="shared" si="3"/>
        <v>0</v>
      </c>
    </row>
    <row r="35" spans="1:24" x14ac:dyDescent="0.2">
      <c r="A35" t="s">
        <v>60</v>
      </c>
      <c r="B35" t="s">
        <v>39</v>
      </c>
      <c r="C35" s="1">
        <v>169.38</v>
      </c>
      <c r="D35" s="1">
        <v>59.98</v>
      </c>
      <c r="E35" s="1">
        <v>71.5</v>
      </c>
      <c r="F35" s="1">
        <v>36.64</v>
      </c>
      <c r="G35" s="1" cm="1">
        <f t="array" ref="G35">_xlfn.IFS(C35&lt;=C$7/(1+$C$5),-1,C35&lt;=C$7*(1+$C$5),2*((1+$C$5)*C35-C$7)/($C$5*(C$7+C35))-1,TRUE,1)</f>
        <v>-1</v>
      </c>
      <c r="H35" s="1" cm="1">
        <f t="array" ref="H35">_xlfn.IFS(D35&lt;=D$7/(1+$C$5),-1,D35&lt;=D$7*(1+$C$5),2*((1+$C$5)*D35-D$7)/($C$5*(D$7+D35))-1,TRUE,1)</f>
        <v>1</v>
      </c>
      <c r="I35" s="1" cm="1">
        <f t="array" ref="I35">_xlfn.IFS(E35&lt;=E$7/(1+$C$5),-1,E35&lt;=E$7*(1+$C$5),2*((1+$C$5)*E35-E$7)/($C$5*(E$7+E35))-1,TRUE,1)</f>
        <v>-0.17912627790187374</v>
      </c>
      <c r="J35" s="1">
        <f t="shared" si="0"/>
        <v>-17.686894168528106</v>
      </c>
      <c r="K35" s="1" cm="1">
        <f t="array" ref="K35">_xlfn.IFS(C35&lt;=C$8/(1+$C$5),-1,C35&lt;=C$8*(1+$C$5),2*((1+$C$5)*C35-C$8)/($C$5*(C$8+C35))-1,TRUE,1)</f>
        <v>-1</v>
      </c>
      <c r="L35" s="1" cm="1">
        <f t="array" ref="L35">_xlfn.IFS(D35&lt;=D$8/(1+$C$5),-1,D35&lt;=D$8*(1+$C$5),2*((1+$C$5)*D35-D$8)/($C$5*(D$8+D35))-1,TRUE,1)</f>
        <v>1</v>
      </c>
      <c r="M35" s="1" cm="1">
        <f t="array" ref="M35">_xlfn.IFS(E35&lt;=E$8/(1+$C$5),-1,E35&lt;=E$8*(1+$C$5),2*((1+$C$5)*E35-E$8)/($C$5*(E$8+E35))-1,TRUE,1)</f>
        <v>1</v>
      </c>
      <c r="N35" s="1">
        <f t="shared" si="1"/>
        <v>0</v>
      </c>
      <c r="O35" s="1" cm="1">
        <f t="array" ref="O35">_xlfn.IFS(C35&lt;=C$9/(1+$C$5),-1,C35&lt;=C$9*(1+$C$5),2*((1+$C$5)*C35-C$9)/($C$5*(C$9+C35))-1,TRUE,1)</f>
        <v>0.7216780106779106</v>
      </c>
      <c r="P35" s="1" cm="1">
        <f t="array" ref="P35">_xlfn.IFS(D35&lt;=D$9/(1+$C$5),-1,D35&lt;=D$9*(1+$C$5),2*((1+$C$5)*D35-D$9)/($C$5*(D$9+D35))-1,TRUE,1)</f>
        <v>1</v>
      </c>
      <c r="Q35" s="1" cm="1">
        <f t="array" ref="Q35">_xlfn.IFS(E35&lt;=E$9/(1+$C$5),-1,E35&lt;=E$9*(1+$C$5),2*((1+$C$5)*E35-E$9)/($C$5*(E$9+E35))-1,TRUE,1)</f>
        <v>1</v>
      </c>
      <c r="R35" s="1">
        <f t="shared" si="2"/>
        <v>86.08390053389553</v>
      </c>
      <c r="S35" s="1" t="s">
        <v>15</v>
      </c>
      <c r="T35" t="str" cm="1">
        <f t="array" ref="T35">_xlfn.IFS(J35&gt;=0,"A",N35&gt;=0,"B+",R35&gt;=0,"B",TRUE,"C")</f>
        <v>B+</v>
      </c>
      <c r="U35" s="3"/>
      <c r="V35" cm="1">
        <f t="array" ref="V35">_xlfn.IFS(J35&gt;=0,1,N35&gt;=0,2,R35&gt;=0,3,TRUE,4)</f>
        <v>2</v>
      </c>
      <c r="W35" cm="1">
        <f t="array" ref="W35">_xlfn.IFS(U35="",V35,U35="A",1,U35="B+",2,U35="B",3,TRUE,4)</f>
        <v>2</v>
      </c>
      <c r="X35" s="1">
        <f t="shared" si="3"/>
        <v>0</v>
      </c>
    </row>
    <row r="36" spans="1:24" x14ac:dyDescent="0.2">
      <c r="A36" t="s">
        <v>58</v>
      </c>
      <c r="B36" t="s">
        <v>39</v>
      </c>
      <c r="C36" s="1">
        <v>330.54</v>
      </c>
      <c r="D36" s="1">
        <v>0.8</v>
      </c>
      <c r="E36" s="1">
        <v>86.5</v>
      </c>
      <c r="F36" s="1">
        <v>57.34</v>
      </c>
      <c r="G36" s="1" cm="1">
        <f t="array" ref="G36">_xlfn.IFS(C36&lt;=C$7/(1+$C$5),-1,C36&lt;=C$7*(1+$C$5),2*((1+$C$5)*C36-C$7)/($C$5*(C$7+C36))-1,TRUE,1)</f>
        <v>0.15729040477243239</v>
      </c>
      <c r="H36" s="1" cm="1">
        <f t="array" ref="H36">_xlfn.IFS(D36&lt;=D$7/(1+$C$5),-1,D36&lt;=D$7*(1+$C$5),2*((1+$C$5)*D36-D$7)/($C$5*(D$7+D36))-1,TRUE,1)</f>
        <v>-1</v>
      </c>
      <c r="I36" s="1" cm="1">
        <f t="array" ref="I36">_xlfn.IFS(E36&lt;=E$7/(1+$C$5),-1,E36&lt;=E$7*(1+$C$5),2*((1+$C$5)*E36-E$7)/($C$5*(E$7+E36))-1,TRUE,1)</f>
        <v>0.54983805943292885</v>
      </c>
      <c r="J36" s="1">
        <f t="shared" si="0"/>
        <v>-18.887908869884448</v>
      </c>
      <c r="K36" s="1" cm="1">
        <f t="array" ref="K36">_xlfn.IFS(C36&lt;=C$8/(1+$C$5),-1,C36&lt;=C$8*(1+$C$5),2*((1+$C$5)*C36-C$8)/($C$5*(C$8+C36))-1,TRUE,1)</f>
        <v>0.17234990116883275</v>
      </c>
      <c r="L36" s="1" cm="1">
        <f t="array" ref="L36">_xlfn.IFS(D36&lt;=D$8/(1+$C$5),-1,D36&lt;=D$8*(1+$C$5),2*((1+$C$5)*D36-D$8)/($C$5*(D$8+D36))-1,TRUE,1)</f>
        <v>-1</v>
      </c>
      <c r="M36" s="1" cm="1">
        <f t="array" ref="M36">_xlfn.IFS(E36&lt;=E$8/(1+$C$5),-1,E36&lt;=E$8*(1+$C$5),2*((1+$C$5)*E36-E$8)/($C$5*(E$8+E36))-1,TRUE,1)</f>
        <v>1</v>
      </c>
      <c r="N36" s="1">
        <f t="shared" si="1"/>
        <v>-11.382504941558363</v>
      </c>
      <c r="O36" s="1" cm="1">
        <f t="array" ref="O36">_xlfn.IFS(C36&lt;=C$9/(1+$C$5),-1,C36&lt;=C$9*(1+$C$5),2*((1+$C$5)*C36-C$9)/($C$5*(C$9+C36))-1,TRUE,1)</f>
        <v>1</v>
      </c>
      <c r="P36" s="1" cm="1">
        <f t="array" ref="P36">_xlfn.IFS(D36&lt;=D$9/(1+$C$5),-1,D36&lt;=D$9*(1+$C$5),2*((1+$C$5)*D36-D$9)/($C$5*(D$9+D36))-1,TRUE,1)</f>
        <v>-1</v>
      </c>
      <c r="Q36" s="1" cm="1">
        <f t="array" ref="Q36">_xlfn.IFS(E36&lt;=E$9/(1+$C$5),-1,E36&lt;=E$9*(1+$C$5),2*((1+$C$5)*E36-E$9)/($C$5*(E$9+E36))-1,TRUE,1)</f>
        <v>1</v>
      </c>
      <c r="R36" s="1">
        <f t="shared" si="2"/>
        <v>30</v>
      </c>
      <c r="S36" s="1" t="s">
        <v>15</v>
      </c>
      <c r="T36" t="str" cm="1">
        <f t="array" ref="T36">_xlfn.IFS(J36&gt;=0,"A",N36&gt;=0,"B+",R36&gt;=0,"B",TRUE,"C")</f>
        <v>B</v>
      </c>
      <c r="U36" s="3"/>
      <c r="V36" cm="1">
        <f t="array" ref="V36">_xlfn.IFS(J36&gt;=0,1,N36&gt;=0,2,R36&gt;=0,3,TRUE,4)</f>
        <v>3</v>
      </c>
      <c r="W36" cm="1">
        <f t="array" ref="W36">_xlfn.IFS(U36="",V36,U36="A",1,U36="B+",2,U36="B",3,TRUE,4)</f>
        <v>3</v>
      </c>
      <c r="X36" s="1">
        <f t="shared" si="3"/>
        <v>0</v>
      </c>
    </row>
    <row r="37" spans="1:24" x14ac:dyDescent="0.2">
      <c r="A37" t="s">
        <v>64</v>
      </c>
      <c r="B37" t="s">
        <v>39</v>
      </c>
      <c r="C37" s="1">
        <v>348.75</v>
      </c>
      <c r="D37" s="1">
        <v>6.48</v>
      </c>
      <c r="E37" s="1">
        <v>62.5</v>
      </c>
      <c r="F37" s="1">
        <v>2.4</v>
      </c>
      <c r="G37" s="1" cm="1">
        <f t="array" ref="G37">_xlfn.IFS(C37&lt;=C$7/(1+$C$5),-1,C37&lt;=C$7*(1+$C$5),2*((1+$C$5)*C37-C$7)/($C$5*(C$7+C37))-1,TRUE,1)</f>
        <v>0.36258513498286815</v>
      </c>
      <c r="H37" s="1" cm="1">
        <f t="array" ref="H37">_xlfn.IFS(D37&lt;=D$7/(1+$C$5),-1,D37&lt;=D$7*(1+$C$5),2*((1+$C$5)*D37-D$7)/($C$5*(D$7+D37))-1,TRUE,1)</f>
        <v>-1</v>
      </c>
      <c r="I37" s="1" cm="1">
        <f t="array" ref="I37">_xlfn.IFS(E37&lt;=E$7/(1+$C$5),-1,E37&lt;=E$7*(1+$C$5),2*((1+$C$5)*E37-E$7)/($C$5*(E$7+E37))-1,TRUE,1)</f>
        <v>-0.69289092412419773</v>
      </c>
      <c r="J37" s="1">
        <f t="shared" si="0"/>
        <v>-27.264107112719557</v>
      </c>
      <c r="K37" s="1" cm="1">
        <f t="array" ref="K37">_xlfn.IFS(C37&lt;=C$8/(1+$C$5),-1,C37&lt;=C$8*(1+$C$5),2*((1+$C$5)*C37-C$8)/($C$5*(C$8+C37))-1,TRUE,1)</f>
        <v>0.37761647610620042</v>
      </c>
      <c r="L37" s="1" cm="1">
        <f t="array" ref="L37">_xlfn.IFS(D37&lt;=D$8/(1+$C$5),-1,D37&lt;=D$8*(1+$C$5),2*((1+$C$5)*D37-D$8)/($C$5*(D$8+D37))-1,TRUE,1)</f>
        <v>-1</v>
      </c>
      <c r="M37" s="1" cm="1">
        <f t="array" ref="M37">_xlfn.IFS(E37&lt;=E$8/(1+$C$5),-1,E37&lt;=E$8*(1+$C$5),2*((1+$C$5)*E37-E$8)/($C$5*(E$8+E37))-1,TRUE,1)</f>
        <v>0.75574569260534985</v>
      </c>
      <c r="N37" s="1">
        <f t="shared" si="1"/>
        <v>-4.7829908056097299</v>
      </c>
      <c r="O37" s="1" cm="1">
        <f t="array" ref="O37">_xlfn.IFS(C37&lt;=C$9/(1+$C$5),-1,C37&lt;=C$9*(1+$C$5),2*((1+$C$5)*C37-C$9)/($C$5*(C$9+C37))-1,TRUE,1)</f>
        <v>1</v>
      </c>
      <c r="P37" s="1" cm="1">
        <f t="array" ref="P37">_xlfn.IFS(D37&lt;=D$9/(1+$C$5),-1,D37&lt;=D$9*(1+$C$5),2*((1+$C$5)*D37-D$9)/($C$5*(D$9+D37))-1,TRUE,1)</f>
        <v>-1</v>
      </c>
      <c r="Q37" s="1" cm="1">
        <f t="array" ref="Q37">_xlfn.IFS(E37&lt;=E$9/(1+$C$5),-1,E37&lt;=E$9*(1+$C$5),2*((1+$C$5)*E37-E$9)/($C$5*(E$9+E37))-1,TRUE,1)</f>
        <v>1</v>
      </c>
      <c r="R37" s="1">
        <f t="shared" si="2"/>
        <v>30</v>
      </c>
      <c r="S37" s="1" t="s">
        <v>15</v>
      </c>
      <c r="T37" t="str" cm="1">
        <f t="array" ref="T37">_xlfn.IFS(J37&gt;=0,"A",N37&gt;=0,"B+",R37&gt;=0,"B",TRUE,"C")</f>
        <v>B</v>
      </c>
      <c r="U37" s="3" t="s">
        <v>1</v>
      </c>
      <c r="V37" cm="1">
        <f t="array" ref="V37">_xlfn.IFS(J37&gt;=0,1,N37&gt;=0,2,R37&gt;=0,3,TRUE,4)</f>
        <v>3</v>
      </c>
      <c r="W37" cm="1">
        <f t="array" ref="W37">_xlfn.IFS(U37="",V37,U37="A",1,U37="B+",2,U37="B",3,TRUE,4)</f>
        <v>3</v>
      </c>
      <c r="X37" s="1">
        <f t="shared" si="3"/>
        <v>0</v>
      </c>
    </row>
    <row r="38" spans="1:24" x14ac:dyDescent="0.2">
      <c r="A38" t="s">
        <v>71</v>
      </c>
      <c r="B38" t="s">
        <v>39</v>
      </c>
      <c r="C38" s="1">
        <v>275.3</v>
      </c>
      <c r="D38" s="1">
        <v>13.5</v>
      </c>
      <c r="E38" s="1">
        <v>46</v>
      </c>
      <c r="F38" s="1">
        <v>115.79</v>
      </c>
      <c r="G38" s="1" cm="1">
        <f t="array" ref="G38">_xlfn.IFS(C38&lt;=C$7/(1+$C$5),-1,C38&lt;=C$7*(1+$C$5),2*((1+$C$5)*C38-C$7)/($C$5*(C$7+C38))-1,TRUE,1)</f>
        <v>-0.54266587452556891</v>
      </c>
      <c r="H38" s="1" cm="1">
        <f t="array" ref="H38">_xlfn.IFS(D38&lt;=D$7/(1+$C$5),-1,D38&lt;=D$7*(1+$C$5),2*((1+$C$5)*D38-D$7)/($C$5*(D$7+D38))-1,TRUE,1)</f>
        <v>0.40654697890446778</v>
      </c>
      <c r="I38" s="1" cm="1">
        <f t="array" ref="I38">_xlfn.IFS(E38&lt;=E$7/(1+$C$5),-1,E38&lt;=E$7*(1+$C$5),2*((1+$C$5)*E38-E$7)/($C$5*(E$7+E38))-1,TRUE,1)</f>
        <v>-1</v>
      </c>
      <c r="J38" s="1">
        <f t="shared" si="0"/>
        <v>-27.904149464622073</v>
      </c>
      <c r="K38" s="1" cm="1">
        <f t="array" ref="K38">_xlfn.IFS(C38&lt;=C$8/(1+$C$5),-1,C38&lt;=C$8*(1+$C$5),2*((1+$C$5)*C38-C$8)/($C$5*(C$8+C38))-1,TRUE,1)</f>
        <v>-0.52767284803506431</v>
      </c>
      <c r="L38" s="1" cm="1">
        <f t="array" ref="L38">_xlfn.IFS(D38&lt;=D$8/(1+$C$5),-1,D38&lt;=D$8*(1+$C$5),2*((1+$C$5)*D38-D$8)/($C$5*(D$8+D38))-1,TRUE,1)</f>
        <v>0.46596705708151087</v>
      </c>
      <c r="M38" s="1" cm="1">
        <f t="array" ref="M38">_xlfn.IFS(E38&lt;=E$8/(1+$C$5),-1,E38&lt;=E$8*(1+$C$5),2*((1+$C$5)*E38-E$8)/($C$5*(E$8+E38))-1,TRUE,1)</f>
        <v>-0.41622750434489375</v>
      </c>
      <c r="N38" s="1">
        <f t="shared" si="1"/>
        <v>-16.31820796907374</v>
      </c>
      <c r="O38" s="1" cm="1">
        <f t="array" ref="O38">_xlfn.IFS(C38&lt;=C$9/(1+$C$5),-1,C38&lt;=C$9*(1+$C$5),2*((1+$C$5)*C38-C$9)/($C$5*(C$9+C38))-1,TRUE,1)</f>
        <v>1</v>
      </c>
      <c r="P38" s="1" cm="1">
        <f t="array" ref="P38">_xlfn.IFS(D38&lt;=D$9/(1+$C$5),-1,D38&lt;=D$9*(1+$C$5),2*((1+$C$5)*D38-D$9)/($C$5*(D$9+D38))-1,TRUE,1)</f>
        <v>0.5241012816184869</v>
      </c>
      <c r="Q38" s="1" cm="1">
        <f t="array" ref="Q38">_xlfn.IFS(E38&lt;=E$9/(1+$C$5),-1,E38&lt;=E$9*(1+$C$5),2*((1+$C$5)*E38-E$9)/($C$5*(E$9+E38))-1,TRUE,1)</f>
        <v>1</v>
      </c>
      <c r="R38" s="1">
        <f t="shared" si="2"/>
        <v>83.343544856647043</v>
      </c>
      <c r="S38" s="1" t="s">
        <v>15</v>
      </c>
      <c r="T38" t="str" cm="1">
        <f t="array" ref="T38">_xlfn.IFS(J38&gt;=0,"A",N38&gt;=0,"B+",R38&gt;=0,"B",TRUE,"C")</f>
        <v>B</v>
      </c>
      <c r="U38" s="3"/>
      <c r="V38" cm="1">
        <f t="array" ref="V38">_xlfn.IFS(J38&gt;=0,1,N38&gt;=0,2,R38&gt;=0,3,TRUE,4)</f>
        <v>3</v>
      </c>
      <c r="W38" cm="1">
        <f t="array" ref="W38">_xlfn.IFS(U38="",V38,U38="A",1,U38="B+",2,U38="B",3,TRUE,4)</f>
        <v>3</v>
      </c>
      <c r="X38" s="1">
        <f t="shared" si="3"/>
        <v>0</v>
      </c>
    </row>
    <row r="39" spans="1:24" x14ac:dyDescent="0.2">
      <c r="A39" t="s">
        <v>68</v>
      </c>
      <c r="B39" t="s">
        <v>39</v>
      </c>
      <c r="C39" s="1">
        <v>233.69</v>
      </c>
      <c r="D39" s="1">
        <v>24.1</v>
      </c>
      <c r="E39" s="1">
        <v>50</v>
      </c>
      <c r="F39" s="1">
        <v>62.43</v>
      </c>
      <c r="G39" s="1" cm="1">
        <f t="array" ref="G39">_xlfn.IFS(C39&lt;=C$7/(1+$C$5),-1,C39&lt;=C$7*(1+$C$5),2*((1+$C$5)*C39-C$7)/($C$5*(C$7+C39))-1,TRUE,1)</f>
        <v>-1</v>
      </c>
      <c r="H39" s="1" cm="1">
        <f t="array" ref="H39">_xlfn.IFS(D39&lt;=D$7/(1+$C$5),-1,D39&lt;=D$7*(1+$C$5),2*((1+$C$5)*D39-D$7)/($C$5*(D$7+D39))-1,TRUE,1)</f>
        <v>1</v>
      </c>
      <c r="I39" s="1" cm="1">
        <f t="array" ref="I39">_xlfn.IFS(E39&lt;=E$7/(1+$C$5),-1,E39&lt;=E$7*(1+$C$5),2*((1+$C$5)*E39-E$7)/($C$5*(E$7+E39))-1,TRUE,1)</f>
        <v>-1</v>
      </c>
      <c r="J39" s="1">
        <f t="shared" si="0"/>
        <v>-30</v>
      </c>
      <c r="K39" s="1" cm="1">
        <f t="array" ref="K39">_xlfn.IFS(C39&lt;=C$8/(1+$C$5),-1,C39&lt;=C$8*(1+$C$5),2*((1+$C$5)*C39-C$8)/($C$5*(C$8+C39))-1,TRUE,1)</f>
        <v>-1</v>
      </c>
      <c r="L39" s="1" cm="1">
        <f t="array" ref="L39">_xlfn.IFS(D39&lt;=D$8/(1+$C$5),-1,D39&lt;=D$8*(1+$C$5),2*((1+$C$5)*D39-D$8)/($C$5*(D$8+D39))-1,TRUE,1)</f>
        <v>1</v>
      </c>
      <c r="M39" s="1" cm="1">
        <f t="array" ref="M39">_xlfn.IFS(E39&lt;=E$8/(1+$C$5),-1,E39&lt;=E$8*(1+$C$5),2*((1+$C$5)*E39-E$8)/($C$5*(E$8+E39))-1,TRUE,1)</f>
        <v>-9.7048070873955727E-2</v>
      </c>
      <c r="N39" s="1">
        <f t="shared" si="1"/>
        <v>-16.455721063109337</v>
      </c>
      <c r="O39" s="1" cm="1">
        <f t="array" ref="O39">_xlfn.IFS(C39&lt;=C$9/(1+$C$5),-1,C39&lt;=C$9*(1+$C$5),2*((1+$C$5)*C39-C$9)/($C$5*(C$9+C39))-1,TRUE,1)</f>
        <v>1</v>
      </c>
      <c r="P39" s="1" cm="1">
        <f t="array" ref="P39">_xlfn.IFS(D39&lt;=D$9/(1+$C$5),-1,D39&lt;=D$9*(1+$C$5),2*((1+$C$5)*D39-D$9)/($C$5*(D$9+D39))-1,TRUE,1)</f>
        <v>1</v>
      </c>
      <c r="Q39" s="1" cm="1">
        <f t="array" ref="Q39">_xlfn.IFS(E39&lt;=E$9/(1+$C$5),-1,E39&lt;=E$9*(1+$C$5),2*((1+$C$5)*E39-E$9)/($C$5*(E$9+E39))-1,TRUE,1)</f>
        <v>1</v>
      </c>
      <c r="R39" s="1">
        <f t="shared" si="2"/>
        <v>100</v>
      </c>
      <c r="S39" s="1" t="s">
        <v>15</v>
      </c>
      <c r="T39" t="str" cm="1">
        <f t="array" ref="T39">_xlfn.IFS(J39&gt;=0,"A",N39&gt;=0,"B+",R39&gt;=0,"B",TRUE,"C")</f>
        <v>B</v>
      </c>
      <c r="U39" s="3"/>
      <c r="V39" cm="1">
        <f t="array" ref="V39">_xlfn.IFS(J39&gt;=0,1,N39&gt;=0,2,R39&gt;=0,3,TRUE,4)</f>
        <v>3</v>
      </c>
      <c r="W39" cm="1">
        <f t="array" ref="W39">_xlfn.IFS(U39="",V39,U39="A",1,U39="B+",2,U39="B",3,TRUE,4)</f>
        <v>3</v>
      </c>
      <c r="X39" s="1">
        <f t="shared" si="3"/>
        <v>0</v>
      </c>
    </row>
    <row r="40" spans="1:24" x14ac:dyDescent="0.2">
      <c r="A40" t="s">
        <v>65</v>
      </c>
      <c r="B40" t="s">
        <v>39</v>
      </c>
      <c r="C40" s="1">
        <v>327.55</v>
      </c>
      <c r="D40" s="1">
        <v>7.98</v>
      </c>
      <c r="E40" s="1">
        <v>69</v>
      </c>
      <c r="F40" s="1">
        <v>27.08</v>
      </c>
      <c r="G40" s="1" cm="1">
        <f t="array" ref="G40">_xlfn.IFS(C40&lt;=C$7/(1+$C$5),-1,C40&lt;=C$7*(1+$C$5),2*((1+$C$5)*C40-C$7)/($C$5*(C$7+C40))-1,TRUE,1)</f>
        <v>0.1224736501104402</v>
      </c>
      <c r="H40" s="1" cm="1">
        <f t="array" ref="H40">_xlfn.IFS(D40&lt;=D$7/(1+$C$5),-1,D40&lt;=D$7*(1+$C$5),2*((1+$C$5)*D40-D$7)/($C$5*(D$7+D40))-1,TRUE,1)</f>
        <v>-1</v>
      </c>
      <c r="I40" s="1" cm="1">
        <f t="array" ref="I40">_xlfn.IFS(E40&lt;=E$7/(1+$C$5),-1,E40&lt;=E$7*(1+$C$5),2*((1+$C$5)*E40-E$7)/($C$5*(E$7+E40))-1,TRUE,1)</f>
        <v>-0.31539328776945053</v>
      </c>
      <c r="J40" s="1">
        <f t="shared" si="0"/>
        <v>-33.607216811019747</v>
      </c>
      <c r="K40" s="1" cm="1">
        <f t="array" ref="K40">_xlfn.IFS(C40&lt;=C$8/(1+$C$5),-1,C40&lt;=C$8*(1+$C$5),2*((1+$C$5)*C40-C$8)/($C$5*(C$8+C40))-1,TRUE,1)</f>
        <v>0.13753577833842789</v>
      </c>
      <c r="L40" s="1" cm="1">
        <f t="array" ref="L40">_xlfn.IFS(D40&lt;=D$8/(1+$C$5),-1,D40&lt;=D$8*(1+$C$5),2*((1+$C$5)*D40-D$8)/($C$5*(D$8+D40))-1,TRUE,1)</f>
        <v>-1</v>
      </c>
      <c r="M40" s="1" cm="1">
        <f t="array" ref="M40">_xlfn.IFS(E40&lt;=E$8/(1+$C$5),-1,E40&lt;=E$8*(1+$C$5),2*((1+$C$5)*E40-E$8)/($C$5*(E$8+E40))-1,TRUE,1)</f>
        <v>1</v>
      </c>
      <c r="N40" s="1">
        <f t="shared" si="1"/>
        <v>-13.123211083078605</v>
      </c>
      <c r="O40" s="1" cm="1">
        <f t="array" ref="O40">_xlfn.IFS(C40&lt;=C$9/(1+$C$5),-1,C40&lt;=C$9*(1+$C$5),2*((1+$C$5)*C40-C$9)/($C$5*(C$9+C40))-1,TRUE,1)</f>
        <v>1</v>
      </c>
      <c r="P40" s="1" cm="1">
        <f t="array" ref="P40">_xlfn.IFS(D40&lt;=D$9/(1+$C$5),-1,D40&lt;=D$9*(1+$C$5),2*((1+$C$5)*D40-D$9)/($C$5*(D$9+D40))-1,TRUE,1)</f>
        <v>-1</v>
      </c>
      <c r="Q40" s="1" cm="1">
        <f t="array" ref="Q40">_xlfn.IFS(E40&lt;=E$9/(1+$C$5),-1,E40&lt;=E$9*(1+$C$5),2*((1+$C$5)*E40-E$9)/($C$5*(E$9+E40))-1,TRUE,1)</f>
        <v>1</v>
      </c>
      <c r="R40" s="1">
        <f t="shared" si="2"/>
        <v>30</v>
      </c>
      <c r="S40" s="1" t="s">
        <v>15</v>
      </c>
      <c r="T40" t="str" cm="1">
        <f t="array" ref="T40">_xlfn.IFS(J40&gt;=0,"A",N40&gt;=0,"B+",R40&gt;=0,"B",TRUE,"C")</f>
        <v>B</v>
      </c>
      <c r="U40" s="3"/>
      <c r="V40" cm="1">
        <f t="array" ref="V40">_xlfn.IFS(J40&gt;=0,1,N40&gt;=0,2,R40&gt;=0,3,TRUE,4)</f>
        <v>3</v>
      </c>
      <c r="W40" cm="1">
        <f t="array" ref="W40">_xlfn.IFS(U40="",V40,U40="A",1,U40="B+",2,U40="B",3,TRUE,4)</f>
        <v>3</v>
      </c>
      <c r="X40" s="1">
        <f t="shared" si="3"/>
        <v>0</v>
      </c>
    </row>
    <row r="41" spans="1:24" x14ac:dyDescent="0.2">
      <c r="A41" t="s">
        <v>69</v>
      </c>
      <c r="B41" t="s">
        <v>39</v>
      </c>
      <c r="C41" s="1">
        <v>282.5</v>
      </c>
      <c r="D41" s="1">
        <v>12.23</v>
      </c>
      <c r="E41" s="1">
        <v>37.5</v>
      </c>
      <c r="F41" s="1">
        <v>42.81</v>
      </c>
      <c r="G41" s="1" cm="1">
        <f t="array" ref="G41">_xlfn.IFS(C41&lt;=C$7/(1+$C$5),-1,C41&lt;=C$7*(1+$C$5),2*((1+$C$5)*C41-C$7)/($C$5*(C$7+C41))-1,TRUE,1)</f>
        <v>-0.44412558573688177</v>
      </c>
      <c r="H41" s="1" cm="1">
        <f t="array" ref="H41">_xlfn.IFS(D41&lt;=D$7/(1+$C$5),-1,D41&lt;=D$7*(1+$C$5),2*((1+$C$5)*D41-D$7)/($C$5*(D$7+D41))-1,TRUE,1)</f>
        <v>2.8257894523412874E-2</v>
      </c>
      <c r="I41" s="1" cm="1">
        <f t="array" ref="I41">_xlfn.IFS(E41&lt;=E$7/(1+$C$5),-1,E41&lt;=E$7*(1+$C$5),2*((1+$C$5)*E41-E$7)/($C$5*(E$7+E41))-1,TRUE,1)</f>
        <v>-1</v>
      </c>
      <c r="J41" s="1">
        <f t="shared" si="0"/>
        <v>-36.217252978524641</v>
      </c>
      <c r="K41" s="1" cm="1">
        <f t="array" ref="K41">_xlfn.IFS(C41&lt;=C$8/(1+$C$5),-1,C41&lt;=C$8*(1+$C$5),2*((1+$C$5)*C41-C$8)/($C$5*(C$8+C41))-1,TRUE,1)</f>
        <v>-0.42910800306933949</v>
      </c>
      <c r="L41" s="1" cm="1">
        <f t="array" ref="L41">_xlfn.IFS(D41&lt;=D$8/(1+$C$5),-1,D41&lt;=D$8*(1+$C$5),2*((1+$C$5)*D41-D$8)/($C$5*(D$8+D41))-1,TRUE,1)</f>
        <v>8.786763544549836E-2</v>
      </c>
      <c r="M41" s="1" cm="1">
        <f t="array" ref="M41">_xlfn.IFS(E41&lt;=E$8/(1+$C$5),-1,E41&lt;=E$8*(1+$C$5),2*((1+$C$5)*E41-E$8)/($C$5*(E$8+E41))-1,TRUE,1)</f>
        <v>-1</v>
      </c>
      <c r="N41" s="1">
        <f t="shared" si="1"/>
        <v>-33.380032912874533</v>
      </c>
      <c r="O41" s="1" cm="1">
        <f t="array" ref="O41">_xlfn.IFS(C41&lt;=C$9/(1+$C$5),-1,C41&lt;=C$9*(1+$C$5),2*((1+$C$5)*C41-C$9)/($C$5*(C$9+C41))-1,TRUE,1)</f>
        <v>1</v>
      </c>
      <c r="P41" s="1" cm="1">
        <f t="array" ref="P41">_xlfn.IFS(D41&lt;=D$9/(1+$C$5),-1,D41&lt;=D$9*(1+$C$5),2*((1+$C$5)*D41-D$9)/($C$5*(D$9+D41))-1,TRUE,1)</f>
        <v>0.14623171208532559</v>
      </c>
      <c r="Q41" s="1" cm="1">
        <f t="array" ref="Q41">_xlfn.IFS(E41&lt;=E$9/(1+$C$5),-1,E41&lt;=E$9*(1+$C$5),2*((1+$C$5)*E41-E$9)/($C$5*(E$9+E41))-1,TRUE,1)</f>
        <v>0.36476920729012097</v>
      </c>
      <c r="R41" s="1">
        <f t="shared" si="2"/>
        <v>60.589648032338204</v>
      </c>
      <c r="S41" s="1" t="s">
        <v>15</v>
      </c>
      <c r="T41" t="str" cm="1">
        <f t="array" ref="T41">_xlfn.IFS(J41&gt;=0,"A",N41&gt;=0,"B+",R41&gt;=0,"B",TRUE,"C")</f>
        <v>B</v>
      </c>
      <c r="U41" s="3"/>
      <c r="V41" cm="1">
        <f t="array" ref="V41">_xlfn.IFS(J41&gt;=0,1,N41&gt;=0,2,R41&gt;=0,3,TRUE,4)</f>
        <v>3</v>
      </c>
      <c r="W41" cm="1">
        <f t="array" ref="W41">_xlfn.IFS(U41="",V41,U41="A",1,U41="B+",2,U41="B",3,TRUE,4)</f>
        <v>3</v>
      </c>
      <c r="X41" s="1">
        <f t="shared" si="3"/>
        <v>0</v>
      </c>
    </row>
    <row r="42" spans="1:24" x14ac:dyDescent="0.2">
      <c r="A42" t="s">
        <v>77</v>
      </c>
      <c r="B42" t="s">
        <v>39</v>
      </c>
      <c r="C42" s="1">
        <v>212.3</v>
      </c>
      <c r="D42" s="1">
        <v>12.91</v>
      </c>
      <c r="E42" s="1">
        <v>0</v>
      </c>
      <c r="F42" s="1">
        <v>22.6</v>
      </c>
      <c r="G42" s="1" cm="1">
        <f t="array" ref="G42">_xlfn.IFS(C42&lt;=C$7/(1+$C$5),-1,C42&lt;=C$7*(1+$C$5),2*((1+$C$5)*C42-C$7)/($C$5*(C$7+C42))-1,TRUE,1)</f>
        <v>-1</v>
      </c>
      <c r="H42" s="1" cm="1">
        <f t="array" ref="H42">_xlfn.IFS(D42&lt;=D$7/(1+$C$5),-1,D42&lt;=D$7*(1+$C$5),2*((1+$C$5)*D42-D$7)/($C$5*(D$7+D42))-1,TRUE,1)</f>
        <v>0.23557695260251998</v>
      </c>
      <c r="I42" s="1" cm="1">
        <f t="array" ref="I42">_xlfn.IFS(E42&lt;=E$7/(1+$C$5),-1,E42&lt;=E$7*(1+$C$5),2*((1+$C$5)*E42-E$7)/($C$5*(E$7+E42))-1,TRUE,1)</f>
        <v>-1</v>
      </c>
      <c r="J42" s="1">
        <f t="shared" si="0"/>
        <v>-56.754806658911804</v>
      </c>
      <c r="K42" s="1" cm="1">
        <f t="array" ref="K42">_xlfn.IFS(C42&lt;=C$8/(1+$C$5),-1,C42&lt;=C$8*(1+$C$5),2*((1+$C$5)*C42-C$8)/($C$5*(C$8+C42))-1,TRUE,1)</f>
        <v>-1</v>
      </c>
      <c r="L42" s="1" cm="1">
        <f t="array" ref="L42">_xlfn.IFS(D42&lt;=D$8/(1+$C$5),-1,D42&lt;=D$8*(1+$C$5),2*((1+$C$5)*D42-D$8)/($C$5*(D$8+D42))-1,TRUE,1)</f>
        <v>0.29511868218316706</v>
      </c>
      <c r="M42" s="1" cm="1">
        <f t="array" ref="M42">_xlfn.IFS(E42&lt;=E$8/(1+$C$5),-1,E42&lt;=E$8*(1+$C$5),2*((1+$C$5)*E42-E$8)/($C$5*(E$8+E42))-1,TRUE,1)</f>
        <v>-1</v>
      </c>
      <c r="N42" s="1">
        <f t="shared" si="1"/>
        <v>-54.670846123589151</v>
      </c>
      <c r="O42" s="1" cm="1">
        <f t="array" ref="O42">_xlfn.IFS(C42&lt;=C$9/(1+$C$5),-1,C42&lt;=C$9*(1+$C$5),2*((1+$C$5)*C42-C$9)/($C$5*(C$9+C42))-1,TRUE,1)</f>
        <v>1</v>
      </c>
      <c r="P42" s="1" cm="1">
        <f t="array" ref="P42">_xlfn.IFS(D42&lt;=D$9/(1+$C$5),-1,D42&lt;=D$9*(1+$C$5),2*((1+$C$5)*D42-D$9)/($C$5*(D$9+D42))-1,TRUE,1)</f>
        <v>0.35339191321135655</v>
      </c>
      <c r="Q42" s="1" cm="1">
        <f t="array" ref="Q42">_xlfn.IFS(E42&lt;=E$9/(1+$C$5),-1,E42&lt;=E$9*(1+$C$5),2*((1+$C$5)*E42-E$9)/($C$5*(E$9+E42))-1,TRUE,1)</f>
        <v>-1</v>
      </c>
      <c r="R42" s="1">
        <f t="shared" si="2"/>
        <v>47.368716962397478</v>
      </c>
      <c r="S42" s="1" t="s">
        <v>1</v>
      </c>
      <c r="T42" t="str" cm="1">
        <f t="array" ref="T42">_xlfn.IFS(J42&gt;=0,"A",N42&gt;=0,"B+",R42&gt;=0,"B",TRUE,"C")</f>
        <v>B</v>
      </c>
      <c r="U42" s="3"/>
      <c r="V42" cm="1">
        <f t="array" ref="V42">_xlfn.IFS(J42&gt;=0,1,N42&gt;=0,2,R42&gt;=0,3,TRUE,4)</f>
        <v>3</v>
      </c>
      <c r="W42" cm="1">
        <f t="array" ref="W42">_xlfn.IFS(U42="",V42,U42="A",1,U42="B+",2,U42="B",3,TRUE,4)</f>
        <v>3</v>
      </c>
      <c r="X42" s="1">
        <f t="shared" si="3"/>
        <v>0</v>
      </c>
    </row>
    <row r="43" spans="1:24" x14ac:dyDescent="0.2">
      <c r="A43" t="s">
        <v>67</v>
      </c>
      <c r="B43" t="s">
        <v>39</v>
      </c>
      <c r="C43" s="1">
        <v>271.72000000000003</v>
      </c>
      <c r="D43" s="1">
        <v>4.3</v>
      </c>
      <c r="E43" s="1">
        <v>72</v>
      </c>
      <c r="F43" s="1">
        <v>36.630000000000003</v>
      </c>
      <c r="G43" s="1" cm="1">
        <f t="array" ref="G43">_xlfn.IFS(C43&lt;=C$7/(1+$C$5),-1,C43&lt;=C$7*(1+$C$5),2*((1+$C$5)*C43-C$7)/($C$5*(C$7+C43))-1,TRUE,1)</f>
        <v>-0.59255908727043294</v>
      </c>
      <c r="H43" s="1" cm="1">
        <f t="array" ref="H43">_xlfn.IFS(D43&lt;=D$7/(1+$C$5),-1,D43&lt;=D$7*(1+$C$5),2*((1+$C$5)*D43-D$7)/($C$5*(D$7+D43))-1,TRUE,1)</f>
        <v>-1</v>
      </c>
      <c r="I43" s="1" cm="1">
        <f t="array" ref="I43">_xlfn.IFS(E43&lt;=E$7/(1+$C$5),-1,E43&lt;=E$7*(1+$C$5),2*((1+$C$5)*E43-E$7)/($C$5*(E$7+E43))-1,TRUE,1)</f>
        <v>-0.15242936489198133</v>
      </c>
      <c r="J43" s="1">
        <f t="shared" si="0"/>
        <v>-66.914394836901351</v>
      </c>
      <c r="K43" s="1" cm="1">
        <f t="array" ref="K43">_xlfn.IFS(C43&lt;=C$8/(1+$C$5),-1,C43&lt;=C$8*(1+$C$5),2*((1+$C$5)*C43-C$8)/($C$5*(C$8+C43))-1,TRUE,1)</f>
        <v>-0.57758039376605497</v>
      </c>
      <c r="L43" s="1" cm="1">
        <f t="array" ref="L43">_xlfn.IFS(D43&lt;=D$8/(1+$C$5),-1,D43&lt;=D$8*(1+$C$5),2*((1+$C$5)*D43-D$8)/($C$5*(D$8+D43))-1,TRUE,1)</f>
        <v>-1</v>
      </c>
      <c r="M43" s="1" cm="1">
        <f t="array" ref="M43">_xlfn.IFS(E43&lt;=E$8/(1+$C$5),-1,E43&lt;=E$8*(1+$C$5),2*((1+$C$5)*E43-E$8)/($C$5*(E$8+E43))-1,TRUE,1)</f>
        <v>1</v>
      </c>
      <c r="N43" s="1">
        <f t="shared" si="1"/>
        <v>-48.879019688302748</v>
      </c>
      <c r="O43" s="1" cm="1">
        <f t="array" ref="O43">_xlfn.IFS(C43&lt;=C$9/(1+$C$5),-1,C43&lt;=C$9*(1+$C$5),2*((1+$C$5)*C43-C$9)/($C$5*(C$9+C43))-1,TRUE,1)</f>
        <v>1</v>
      </c>
      <c r="P43" s="1" cm="1">
        <f t="array" ref="P43">_xlfn.IFS(D43&lt;=D$9/(1+$C$5),-1,D43&lt;=D$9*(1+$C$5),2*((1+$C$5)*D43-D$9)/($C$5*(D$9+D43))-1,TRUE,1)</f>
        <v>-1</v>
      </c>
      <c r="Q43" s="1" cm="1">
        <f t="array" ref="Q43">_xlfn.IFS(E43&lt;=E$9/(1+$C$5),-1,E43&lt;=E$9*(1+$C$5),2*((1+$C$5)*E43-E$9)/($C$5*(E$9+E43))-1,TRUE,1)</f>
        <v>1</v>
      </c>
      <c r="R43" s="1">
        <f t="shared" si="2"/>
        <v>30</v>
      </c>
      <c r="S43" s="1" t="s">
        <v>15</v>
      </c>
      <c r="T43" t="str" cm="1">
        <f t="array" ref="T43">_xlfn.IFS(J43&gt;=0,"A",N43&gt;=0,"B+",R43&gt;=0,"B",TRUE,"C")</f>
        <v>B</v>
      </c>
      <c r="U43" s="3"/>
      <c r="V43" cm="1">
        <f t="array" ref="V43">_xlfn.IFS(J43&gt;=0,1,N43&gt;=0,2,R43&gt;=0,3,TRUE,4)</f>
        <v>3</v>
      </c>
      <c r="W43" cm="1">
        <f t="array" ref="W43">_xlfn.IFS(U43="",V43,U43="A",1,U43="B+",2,U43="B",3,TRUE,4)</f>
        <v>3</v>
      </c>
      <c r="X43" s="1">
        <f t="shared" si="3"/>
        <v>0</v>
      </c>
    </row>
    <row r="44" spans="1:24" x14ac:dyDescent="0.2">
      <c r="A44" t="s">
        <v>70</v>
      </c>
      <c r="B44" t="s">
        <v>39</v>
      </c>
      <c r="C44" s="1">
        <v>245.79</v>
      </c>
      <c r="D44" s="1">
        <v>2.98</v>
      </c>
      <c r="E44" s="1">
        <v>91.5</v>
      </c>
      <c r="F44" s="1">
        <v>53</v>
      </c>
      <c r="G44" s="1" cm="1">
        <f t="array" ref="G44">_xlfn.IFS(C44&lt;=C$7/(1+$C$5),-1,C44&lt;=C$7*(1+$C$5),2*((1+$C$5)*C44-C$7)/($C$5*(C$7+C44))-1,TRUE,1)</f>
        <v>-0.97287700801888033</v>
      </c>
      <c r="H44" s="1" cm="1">
        <f t="array" ref="H44">_xlfn.IFS(D44&lt;=D$7/(1+$C$5),-1,D44&lt;=D$7*(1+$C$5),2*((1+$C$5)*D44-D$7)/($C$5*(D$7+D44))-1,TRUE,1)</f>
        <v>-1</v>
      </c>
      <c r="I44" s="1" cm="1">
        <f t="array" ref="I44">_xlfn.IFS(E44&lt;=E$7/(1+$C$5),-1,E44&lt;=E$7*(1+$C$5),2*((1+$C$5)*E44-E$7)/($C$5*(E$7+E44))-1,TRUE,1)</f>
        <v>0.76362464692458976</v>
      </c>
      <c r="J44" s="1">
        <f t="shared" si="0"/>
        <v>-72.189480697075169</v>
      </c>
      <c r="K44" s="1" cm="1">
        <f t="array" ref="K44">_xlfn.IFS(C44&lt;=C$8/(1+$C$5),-1,C44&lt;=C$8*(1+$C$5),2*((1+$C$5)*C44-C$8)/($C$5*(C$8+C44))-1,TRUE,1)</f>
        <v>-0.9580495439211596</v>
      </c>
      <c r="L44" s="1" cm="1">
        <f t="array" ref="L44">_xlfn.IFS(D44&lt;=D$8/(1+$C$5),-1,D44&lt;=D$8*(1+$C$5),2*((1+$C$5)*D44-D$8)/($C$5*(D$8+D44))-1,TRUE,1)</f>
        <v>-1</v>
      </c>
      <c r="M44" s="1" cm="1">
        <f t="array" ref="M44">_xlfn.IFS(E44&lt;=E$8/(1+$C$5),-1,E44&lt;=E$8*(1+$C$5),2*((1+$C$5)*E44-E$8)/($C$5*(E$8+E44))-1,TRUE,1)</f>
        <v>1</v>
      </c>
      <c r="N44" s="1">
        <f t="shared" si="1"/>
        <v>-67.902477196057987</v>
      </c>
      <c r="O44" s="1" cm="1">
        <f t="array" ref="O44">_xlfn.IFS(C44&lt;=C$9/(1+$C$5),-1,C44&lt;=C$9*(1+$C$5),2*((1+$C$5)*C44-C$9)/($C$5*(C$9+C44))-1,TRUE,1)</f>
        <v>1</v>
      </c>
      <c r="P44" s="1" cm="1">
        <f t="array" ref="P44">_xlfn.IFS(D44&lt;=D$9/(1+$C$5),-1,D44&lt;=D$9*(1+$C$5),2*((1+$C$5)*D44-D$9)/($C$5*(D$9+D44))-1,TRUE,1)</f>
        <v>-1</v>
      </c>
      <c r="Q44" s="1" cm="1">
        <f t="array" ref="Q44">_xlfn.IFS(E44&lt;=E$9/(1+$C$5),-1,E44&lt;=E$9*(1+$C$5),2*((1+$C$5)*E44-E$9)/($C$5*(E$9+E44))-1,TRUE,1)</f>
        <v>1</v>
      </c>
      <c r="R44" s="1">
        <f t="shared" si="2"/>
        <v>30</v>
      </c>
      <c r="S44" s="1" t="s">
        <v>15</v>
      </c>
      <c r="T44" t="str" cm="1">
        <f t="array" ref="T44">_xlfn.IFS(J44&gt;=0,"A",N44&gt;=0,"B+",R44&gt;=0,"B",TRUE,"C")</f>
        <v>B</v>
      </c>
      <c r="U44" s="3"/>
      <c r="V44" cm="1">
        <f t="array" ref="V44">_xlfn.IFS(J44&gt;=0,1,N44&gt;=0,2,R44&gt;=0,3,TRUE,4)</f>
        <v>3</v>
      </c>
      <c r="W44" cm="1">
        <f t="array" ref="W44">_xlfn.IFS(U44="",V44,U44="A",1,U44="B+",2,U44="B",3,TRUE,4)</f>
        <v>3</v>
      </c>
      <c r="X44" s="1">
        <f t="shared" si="3"/>
        <v>0</v>
      </c>
    </row>
    <row r="45" spans="1:24" x14ac:dyDescent="0.2">
      <c r="A45" t="s">
        <v>72</v>
      </c>
      <c r="B45" t="s">
        <v>39</v>
      </c>
      <c r="C45" s="1">
        <v>250.3</v>
      </c>
      <c r="D45" s="1">
        <v>0.37</v>
      </c>
      <c r="E45" s="1">
        <v>66</v>
      </c>
      <c r="F45" s="1">
        <v>18.350000000000001</v>
      </c>
      <c r="G45" s="1" cm="1">
        <f t="array" ref="G45">_xlfn.IFS(C45&lt;=C$7/(1+$C$5),-1,C45&lt;=C$7*(1+$C$5),2*((1+$C$5)*C45-C$7)/($C$5*(C$7+C45))-1,TRUE,1)</f>
        <v>-0.90423184878712481</v>
      </c>
      <c r="H45" s="1" cm="1">
        <f t="array" ref="H45">_xlfn.IFS(D45&lt;=D$7/(1+$C$5),-1,D45&lt;=D$7*(1+$C$5),2*((1+$C$5)*D45-D$7)/($C$5*(D$7+D45))-1,TRUE,1)</f>
        <v>-1</v>
      </c>
      <c r="I45" s="1" cm="1">
        <f t="array" ref="I45">_xlfn.IFS(E45&lt;=E$7/(1+$C$5),-1,E45&lt;=E$7*(1+$C$5),2*((1+$C$5)*E45-E$7)/($C$5*(E$7+E45))-1,TRUE,1)</f>
        <v>-0.48529570746621453</v>
      </c>
      <c r="J45" s="1">
        <f t="shared" si="0"/>
        <v>-87.49102805134946</v>
      </c>
      <c r="K45" s="1" cm="1">
        <f t="array" ref="K45">_xlfn.IFS(C45&lt;=C$8/(1+$C$5),-1,C45&lt;=C$8*(1+$C$5),2*((1+$C$5)*C45-C$8)/($C$5*(C$8+C45))-1,TRUE,1)</f>
        <v>-0.88937159953793299</v>
      </c>
      <c r="L45" s="1" cm="1">
        <f t="array" ref="L45">_xlfn.IFS(D45&lt;=D$8/(1+$C$5),-1,D45&lt;=D$8*(1+$C$5),2*((1+$C$5)*D45-D$8)/($C$5*(D$8+D45))-1,TRUE,1)</f>
        <v>-1</v>
      </c>
      <c r="M45" s="1" cm="1">
        <f t="array" ref="M45">_xlfn.IFS(E45&lt;=E$8/(1+$C$5),-1,E45&lt;=E$8*(1+$C$5),2*((1+$C$5)*E45-E$8)/($C$5*(E$8+E45))-1,TRUE,1)</f>
        <v>0.96195254991002788</v>
      </c>
      <c r="N45" s="1">
        <f t="shared" si="1"/>
        <v>-65.039291728246226</v>
      </c>
      <c r="O45" s="1" cm="1">
        <f t="array" ref="O45">_xlfn.IFS(C45&lt;=C$9/(1+$C$5),-1,C45&lt;=C$9*(1+$C$5),2*((1+$C$5)*C45-C$9)/($C$5*(C$9+C45))-1,TRUE,1)</f>
        <v>1</v>
      </c>
      <c r="P45" s="1" cm="1">
        <f t="array" ref="P45">_xlfn.IFS(D45&lt;=D$9/(1+$C$5),-1,D45&lt;=D$9*(1+$C$5),2*((1+$C$5)*D45-D$9)/($C$5*(D$9+D45))-1,TRUE,1)</f>
        <v>-1</v>
      </c>
      <c r="Q45" s="1" cm="1">
        <f t="array" ref="Q45">_xlfn.IFS(E45&lt;=E$9/(1+$C$5),-1,E45&lt;=E$9*(1+$C$5),2*((1+$C$5)*E45-E$9)/($C$5*(E$9+E45))-1,TRUE,1)</f>
        <v>1</v>
      </c>
      <c r="R45" s="1">
        <f t="shared" si="2"/>
        <v>30</v>
      </c>
      <c r="S45" s="1" t="s">
        <v>15</v>
      </c>
      <c r="T45" t="str" cm="1">
        <f t="array" ref="T45">_xlfn.IFS(J45&gt;=0,"A",N45&gt;=0,"B+",R45&gt;=0,"B",TRUE,"C")</f>
        <v>B</v>
      </c>
      <c r="U45" s="3"/>
      <c r="V45" cm="1">
        <f t="array" ref="V45">_xlfn.IFS(J45&gt;=0,1,N45&gt;=0,2,R45&gt;=0,3,TRUE,4)</f>
        <v>3</v>
      </c>
      <c r="W45" cm="1">
        <f t="array" ref="W45">_xlfn.IFS(U45="",V45,U45="A",1,U45="B+",2,U45="B",3,TRUE,4)</f>
        <v>3</v>
      </c>
      <c r="X45" s="1">
        <f t="shared" si="3"/>
        <v>0</v>
      </c>
    </row>
    <row r="46" spans="1:24" x14ac:dyDescent="0.2">
      <c r="A46" t="s">
        <v>73</v>
      </c>
      <c r="B46" t="s">
        <v>39</v>
      </c>
      <c r="C46" s="1">
        <v>258.04000000000002</v>
      </c>
      <c r="D46" s="1">
        <v>4.2699999999999996</v>
      </c>
      <c r="E46" s="1">
        <v>18</v>
      </c>
      <c r="F46" s="1">
        <v>16.850000000000001</v>
      </c>
      <c r="G46" s="1" cm="1">
        <f t="array" ref="G46">_xlfn.IFS(C46&lt;=C$7/(1+$C$5),-1,C46&lt;=C$7*(1+$C$5),2*((1+$C$5)*C46-C$7)/($C$5*(C$7+C46))-1,TRUE,1)</f>
        <v>-0.78893253375402517</v>
      </c>
      <c r="H46" s="1" cm="1">
        <f t="array" ref="H46">_xlfn.IFS(D46&lt;=D$7/(1+$C$5),-1,D46&lt;=D$7*(1+$C$5),2*((1+$C$5)*D46-D$7)/($C$5*(D$7+D46))-1,TRUE,1)</f>
        <v>-1</v>
      </c>
      <c r="I46" s="1" cm="1">
        <f t="array" ref="I46">_xlfn.IFS(E46&lt;=E$7/(1+$C$5),-1,E46&lt;=E$7*(1+$C$5),2*((1+$C$5)*E46-E$7)/($C$5*(E$7+E46))-1,TRUE,1)</f>
        <v>-1</v>
      </c>
      <c r="J46" s="1">
        <f t="shared" si="0"/>
        <v>-89.446626687701269</v>
      </c>
      <c r="K46" s="1" cm="1">
        <f t="array" ref="K46">_xlfn.IFS(C46&lt;=C$8/(1+$C$5),-1,C46&lt;=C$8*(1+$C$5),2*((1+$C$5)*C46-C$8)/($C$5*(C$8+C46))-1,TRUE,1)</f>
        <v>-0.7740226588188247</v>
      </c>
      <c r="L46" s="1" cm="1">
        <f t="array" ref="L46">_xlfn.IFS(D46&lt;=D$8/(1+$C$5),-1,D46&lt;=D$8*(1+$C$5),2*((1+$C$5)*D46-D$8)/($C$5*(D$8+D46))-1,TRUE,1)</f>
        <v>-1</v>
      </c>
      <c r="M46" s="1" cm="1">
        <f t="array" ref="M46">_xlfn.IFS(E46&lt;=E$8/(1+$C$5),-1,E46&lt;=E$8*(1+$C$5),2*((1+$C$5)*E46-E$8)/($C$5*(E$8+E46))-1,TRUE,1)</f>
        <v>-1</v>
      </c>
      <c r="N46" s="1">
        <f t="shared" si="1"/>
        <v>-88.701132940941235</v>
      </c>
      <c r="O46" s="1" cm="1">
        <f t="array" ref="O46">_xlfn.IFS(C46&lt;=C$9/(1+$C$5),-1,C46&lt;=C$9*(1+$C$5),2*((1+$C$5)*C46-C$9)/($C$5*(C$9+C46))-1,TRUE,1)</f>
        <v>1</v>
      </c>
      <c r="P46" s="1" cm="1">
        <f t="array" ref="P46">_xlfn.IFS(D46&lt;=D$9/(1+$C$5),-1,D46&lt;=D$9*(1+$C$5),2*((1+$C$5)*D46-D$9)/($C$5*(D$9+D46))-1,TRUE,1)</f>
        <v>-1</v>
      </c>
      <c r="Q46" s="1" cm="1">
        <f t="array" ref="Q46">_xlfn.IFS(E46&lt;=E$9/(1+$C$5),-1,E46&lt;=E$9*(1+$C$5),2*((1+$C$5)*E46-E$9)/($C$5*(E$9+E46))-1,TRUE,1)</f>
        <v>-1</v>
      </c>
      <c r="R46" s="1">
        <f t="shared" si="2"/>
        <v>0</v>
      </c>
      <c r="S46" s="1" t="s">
        <v>1</v>
      </c>
      <c r="T46" t="str" cm="1">
        <f t="array" ref="T46">_xlfn.IFS(J46&gt;=0,"A",N46&gt;=0,"B+",R46&gt;=0,"B",TRUE,"C")</f>
        <v>B</v>
      </c>
      <c r="U46" s="3"/>
      <c r="V46" cm="1">
        <f t="array" ref="V46">_xlfn.IFS(J46&gt;=0,1,N46&gt;=0,2,R46&gt;=0,3,TRUE,4)</f>
        <v>3</v>
      </c>
      <c r="W46" cm="1">
        <f t="array" ref="W46">_xlfn.IFS(U46="",V46,U46="A",1,U46="B+",2,U46="B",3,TRUE,4)</f>
        <v>3</v>
      </c>
      <c r="X46" s="1">
        <f t="shared" si="3"/>
        <v>0</v>
      </c>
    </row>
    <row r="47" spans="1:24" x14ac:dyDescent="0.2">
      <c r="A47" t="s">
        <v>76</v>
      </c>
      <c r="B47" t="s">
        <v>39</v>
      </c>
      <c r="C47" s="1">
        <v>212.71</v>
      </c>
      <c r="D47" s="1">
        <v>2.15</v>
      </c>
      <c r="E47" s="1">
        <v>39</v>
      </c>
      <c r="F47" s="1">
        <v>18.649999999999999</v>
      </c>
      <c r="G47" s="1" cm="1">
        <f t="array" ref="G47">_xlfn.IFS(C47&lt;=C$7/(1+$C$5),-1,C47&lt;=C$7*(1+$C$5),2*((1+$C$5)*C47-C$7)/($C$5*(C$7+C47))-1,TRUE,1)</f>
        <v>-1</v>
      </c>
      <c r="H47" s="1" cm="1">
        <f t="array" ref="H47">_xlfn.IFS(D47&lt;=D$7/(1+$C$5),-1,D47&lt;=D$7*(1+$C$5),2*((1+$C$5)*D47-D$7)/($C$5*(D$7+D47))-1,TRUE,1)</f>
        <v>-1</v>
      </c>
      <c r="I47" s="1" cm="1">
        <f t="array" ref="I47">_xlfn.IFS(E47&lt;=E$7/(1+$C$5),-1,E47&lt;=E$7*(1+$C$5),2*((1+$C$5)*E47-E$7)/($C$5*(E$7+E47))-1,TRUE,1)</f>
        <v>-1</v>
      </c>
      <c r="J47" s="1">
        <f t="shared" si="0"/>
        <v>-100</v>
      </c>
      <c r="K47" s="1" cm="1">
        <f t="array" ref="K47">_xlfn.IFS(C47&lt;=C$8/(1+$C$5),-1,C47&lt;=C$8*(1+$C$5),2*((1+$C$5)*C47-C$8)/($C$5*(C$8+C47))-1,TRUE,1)</f>
        <v>-1</v>
      </c>
      <c r="L47" s="1" cm="1">
        <f t="array" ref="L47">_xlfn.IFS(D47&lt;=D$8/(1+$C$5),-1,D47&lt;=D$8*(1+$C$5),2*((1+$C$5)*D47-D$8)/($C$5*(D$8+D47))-1,TRUE,1)</f>
        <v>-1</v>
      </c>
      <c r="M47" s="1" cm="1">
        <f t="array" ref="M47">_xlfn.IFS(E47&lt;=E$8/(1+$C$5),-1,E47&lt;=E$8*(1+$C$5),2*((1+$C$5)*E47-E$8)/($C$5*(E$8+E47))-1,TRUE,1)</f>
        <v>-1</v>
      </c>
      <c r="N47" s="1">
        <f t="shared" si="1"/>
        <v>-100</v>
      </c>
      <c r="O47" s="1" cm="1">
        <f t="array" ref="O47">_xlfn.IFS(C47&lt;=C$9/(1+$C$5),-1,C47&lt;=C$9*(1+$C$5),2*((1+$C$5)*C47-C$9)/($C$5*(C$9+C47))-1,TRUE,1)</f>
        <v>1</v>
      </c>
      <c r="P47" s="1" cm="1">
        <f t="array" ref="P47">_xlfn.IFS(D47&lt;=D$9/(1+$C$5),-1,D47&lt;=D$9*(1+$C$5),2*((1+$C$5)*D47-D$9)/($C$5*(D$9+D47))-1,TRUE,1)</f>
        <v>-1</v>
      </c>
      <c r="Q47" s="1" cm="1">
        <f t="array" ref="Q47">_xlfn.IFS(E47&lt;=E$9/(1+$C$5),-1,E47&lt;=E$9*(1+$C$5),2*((1+$C$5)*E47-E$9)/($C$5*(E$9+E47))-1,TRUE,1)</f>
        <v>0.51459447750570098</v>
      </c>
      <c r="R47" s="1">
        <f t="shared" si="2"/>
        <v>22.718917162585512</v>
      </c>
      <c r="S47" s="1" t="s">
        <v>1</v>
      </c>
      <c r="T47" t="str" cm="1">
        <f t="array" ref="T47">_xlfn.IFS(J47&gt;=0,"A",N47&gt;=0,"B+",R47&gt;=0,"B",TRUE,"C")</f>
        <v>B</v>
      </c>
      <c r="U47" s="3"/>
      <c r="V47" cm="1">
        <f t="array" ref="V47">_xlfn.IFS(J47&gt;=0,1,N47&gt;=0,2,R47&gt;=0,3,TRUE,4)</f>
        <v>3</v>
      </c>
      <c r="W47" cm="1">
        <f t="array" ref="W47">_xlfn.IFS(U47="",V47,U47="A",1,U47="B+",2,U47="B",3,TRUE,4)</f>
        <v>3</v>
      </c>
      <c r="X47" s="1">
        <f t="shared" si="3"/>
        <v>0</v>
      </c>
    </row>
    <row r="48" spans="1:24" x14ac:dyDescent="0.2">
      <c r="A48" t="s">
        <v>74</v>
      </c>
      <c r="B48" t="s">
        <v>39</v>
      </c>
      <c r="C48" s="1">
        <v>235.62</v>
      </c>
      <c r="D48" s="1">
        <v>0.33</v>
      </c>
      <c r="E48" s="1">
        <v>15</v>
      </c>
      <c r="F48" s="1">
        <v>13.25</v>
      </c>
      <c r="G48" s="1" cm="1">
        <f t="array" ref="G48">_xlfn.IFS(C48&lt;=C$7/(1+$C$5),-1,C48&lt;=C$7*(1+$C$5),2*((1+$C$5)*C48-C$7)/($C$5*(C$7+C48))-1,TRUE,1)</f>
        <v>-1</v>
      </c>
      <c r="H48" s="1" cm="1">
        <f t="array" ref="H48">_xlfn.IFS(D48&lt;=D$7/(1+$C$5),-1,D48&lt;=D$7*(1+$C$5),2*((1+$C$5)*D48-D$7)/($C$5*(D$7+D48))-1,TRUE,1)</f>
        <v>-1</v>
      </c>
      <c r="I48" s="1" cm="1">
        <f t="array" ref="I48">_xlfn.IFS(E48&lt;=E$7/(1+$C$5),-1,E48&lt;=E$7*(1+$C$5),2*((1+$C$5)*E48-E$7)/($C$5*(E$7+E48))-1,TRUE,1)</f>
        <v>-1</v>
      </c>
      <c r="J48" s="1">
        <f t="shared" si="0"/>
        <v>-100</v>
      </c>
      <c r="K48" s="1" cm="1">
        <f t="array" ref="K48">_xlfn.IFS(C48&lt;=C$8/(1+$C$5),-1,C48&lt;=C$8*(1+$C$5),2*((1+$C$5)*C48-C$8)/($C$5*(C$8+C48))-1,TRUE,1)</f>
        <v>-1</v>
      </c>
      <c r="L48" s="1" cm="1">
        <f t="array" ref="L48">_xlfn.IFS(D48&lt;=D$8/(1+$C$5),-1,D48&lt;=D$8*(1+$C$5),2*((1+$C$5)*D48-D$8)/($C$5*(D$8+D48))-1,TRUE,1)</f>
        <v>-1</v>
      </c>
      <c r="M48" s="1" cm="1">
        <f t="array" ref="M48">_xlfn.IFS(E48&lt;=E$8/(1+$C$5),-1,E48&lt;=E$8*(1+$C$5),2*((1+$C$5)*E48-E$8)/($C$5*(E$8+E48))-1,TRUE,1)</f>
        <v>-1</v>
      </c>
      <c r="N48" s="1">
        <f t="shared" si="1"/>
        <v>-100</v>
      </c>
      <c r="O48" s="1" cm="1">
        <f t="array" ref="O48">_xlfn.IFS(C48&lt;=C$9/(1+$C$5),-1,C48&lt;=C$9*(1+$C$5),2*((1+$C$5)*C48-C$9)/($C$5*(C$9+C48))-1,TRUE,1)</f>
        <v>1</v>
      </c>
      <c r="P48" s="1" cm="1">
        <f t="array" ref="P48">_xlfn.IFS(D48&lt;=D$9/(1+$C$5),-1,D48&lt;=D$9*(1+$C$5),2*((1+$C$5)*D48-D$9)/($C$5*(D$9+D48))-1,TRUE,1)</f>
        <v>-1</v>
      </c>
      <c r="Q48" s="1" cm="1">
        <f t="array" ref="Q48">_xlfn.IFS(E48&lt;=E$9/(1+$C$5),-1,E48&lt;=E$9*(1+$C$5),2*((1+$C$5)*E48-E$9)/($C$5*(E$9+E48))-1,TRUE,1)</f>
        <v>-1</v>
      </c>
      <c r="R48" s="1">
        <f t="shared" si="2"/>
        <v>0</v>
      </c>
      <c r="S48" s="1" t="s">
        <v>1</v>
      </c>
      <c r="T48" t="str" cm="1">
        <f t="array" ref="T48">_xlfn.IFS(J48&gt;=0,"A",N48&gt;=0,"B+",R48&gt;=0,"B",TRUE,"C")</f>
        <v>B</v>
      </c>
      <c r="U48" s="3"/>
      <c r="V48" cm="1">
        <f t="array" ref="V48">_xlfn.IFS(J48&gt;=0,1,N48&gt;=0,2,R48&gt;=0,3,TRUE,4)</f>
        <v>3</v>
      </c>
      <c r="W48" cm="1">
        <f t="array" ref="W48">_xlfn.IFS(U48="",V48,U48="A",1,U48="B+",2,U48="B",3,TRUE,4)</f>
        <v>3</v>
      </c>
      <c r="X48" s="1">
        <f t="shared" si="3"/>
        <v>0</v>
      </c>
    </row>
    <row r="49" spans="1:24" x14ac:dyDescent="0.2">
      <c r="A49" t="s">
        <v>75</v>
      </c>
      <c r="B49" t="s">
        <v>39</v>
      </c>
      <c r="C49" s="1">
        <v>234.36</v>
      </c>
      <c r="D49" s="1">
        <v>0.13</v>
      </c>
      <c r="E49" s="1">
        <v>0</v>
      </c>
      <c r="F49" s="1">
        <v>42.05</v>
      </c>
      <c r="G49" s="1" cm="1">
        <f t="array" ref="G49">_xlfn.IFS(C49&lt;=C$7/(1+$C$5),-1,C49&lt;=C$7*(1+$C$5),2*((1+$C$5)*C49-C$7)/($C$5*(C$7+C49))-1,TRUE,1)</f>
        <v>-1</v>
      </c>
      <c r="H49" s="1" cm="1">
        <f t="array" ref="H49">_xlfn.IFS(D49&lt;=D$7/(1+$C$5),-1,D49&lt;=D$7*(1+$C$5),2*((1+$C$5)*D49-D$7)/($C$5*(D$7+D49))-1,TRUE,1)</f>
        <v>-1</v>
      </c>
      <c r="I49" s="1" cm="1">
        <f t="array" ref="I49">_xlfn.IFS(E49&lt;=E$7/(1+$C$5),-1,E49&lt;=E$7*(1+$C$5),2*((1+$C$5)*E49-E$7)/($C$5*(E$7+E49))-1,TRUE,1)</f>
        <v>-1</v>
      </c>
      <c r="J49" s="1">
        <f t="shared" si="0"/>
        <v>-100</v>
      </c>
      <c r="K49" s="1" cm="1">
        <f t="array" ref="K49">_xlfn.IFS(C49&lt;=C$8/(1+$C$5),-1,C49&lt;=C$8*(1+$C$5),2*((1+$C$5)*C49-C$8)/($C$5*(C$8+C49))-1,TRUE,1)</f>
        <v>-1</v>
      </c>
      <c r="L49" s="1" cm="1">
        <f t="array" ref="L49">_xlfn.IFS(D49&lt;=D$8/(1+$C$5),-1,D49&lt;=D$8*(1+$C$5),2*((1+$C$5)*D49-D$8)/($C$5*(D$8+D49))-1,TRUE,1)</f>
        <v>-1</v>
      </c>
      <c r="M49" s="1" cm="1">
        <f t="array" ref="M49">_xlfn.IFS(E49&lt;=E$8/(1+$C$5),-1,E49&lt;=E$8*(1+$C$5),2*((1+$C$5)*E49-E$8)/($C$5*(E$8+E49))-1,TRUE,1)</f>
        <v>-1</v>
      </c>
      <c r="N49" s="1">
        <f t="shared" si="1"/>
        <v>-100</v>
      </c>
      <c r="O49" s="1" cm="1">
        <f t="array" ref="O49">_xlfn.IFS(C49&lt;=C$9/(1+$C$5),-1,C49&lt;=C$9*(1+$C$5),2*((1+$C$5)*C49-C$9)/($C$5*(C$9+C49))-1,TRUE,1)</f>
        <v>1</v>
      </c>
      <c r="P49" s="1" cm="1">
        <f t="array" ref="P49">_xlfn.IFS(D49&lt;=D$9/(1+$C$5),-1,D49&lt;=D$9*(1+$C$5),2*((1+$C$5)*D49-D$9)/($C$5*(D$9+D49))-1,TRUE,1)</f>
        <v>-1</v>
      </c>
      <c r="Q49" s="1" cm="1">
        <f t="array" ref="Q49">_xlfn.IFS(E49&lt;=E$9/(1+$C$5),-1,E49&lt;=E$9*(1+$C$5),2*((1+$C$5)*E49-E$9)/($C$5*(E$9+E49))-1,TRUE,1)</f>
        <v>-1</v>
      </c>
      <c r="R49" s="1">
        <f t="shared" si="2"/>
        <v>0</v>
      </c>
      <c r="S49" s="1" t="s">
        <v>1</v>
      </c>
      <c r="T49" t="str" cm="1">
        <f t="array" ref="T49">_xlfn.IFS(J49&gt;=0,"A",N49&gt;=0,"B+",R49&gt;=0,"B",TRUE,"C")</f>
        <v>B</v>
      </c>
      <c r="U49" s="3"/>
      <c r="V49" cm="1">
        <f t="array" ref="V49">_xlfn.IFS(J49&gt;=0,1,N49&gt;=0,2,R49&gt;=0,3,TRUE,4)</f>
        <v>3</v>
      </c>
      <c r="W49" cm="1">
        <f t="array" ref="W49">_xlfn.IFS(U49="",V49,U49="A",1,U49="B+",2,U49="B",3,TRUE,4)</f>
        <v>3</v>
      </c>
      <c r="X49" s="1">
        <f t="shared" si="3"/>
        <v>0</v>
      </c>
    </row>
    <row r="50" spans="1:24" x14ac:dyDescent="0.2">
      <c r="A50" t="s">
        <v>78</v>
      </c>
      <c r="B50" t="s">
        <v>39</v>
      </c>
      <c r="C50" s="1">
        <v>84.5</v>
      </c>
      <c r="D50" s="1">
        <v>1.8</v>
      </c>
      <c r="E50" s="1">
        <v>0</v>
      </c>
      <c r="F50" s="1">
        <v>10.97</v>
      </c>
      <c r="G50" s="1" cm="1">
        <f t="array" ref="G50">_xlfn.IFS(C50&lt;=C$7/(1+$C$5),-1,C50&lt;=C$7*(1+$C$5),2*((1+$C$5)*C50-C$7)/($C$5*(C$7+C50))-1,TRUE,1)</f>
        <v>-1</v>
      </c>
      <c r="H50" s="1" cm="1">
        <f t="array" ref="H50">_xlfn.IFS(D50&lt;=D$7/(1+$C$5),-1,D50&lt;=D$7*(1+$C$5),2*((1+$C$5)*D50-D$7)/($C$5*(D$7+D50))-1,TRUE,1)</f>
        <v>-1</v>
      </c>
      <c r="I50" s="1" cm="1">
        <f t="array" ref="I50">_xlfn.IFS(E50&lt;=E$7/(1+$C$5),-1,E50&lt;=E$7*(1+$C$5),2*((1+$C$5)*E50-E$7)/($C$5*(E$7+E50))-1,TRUE,1)</f>
        <v>-1</v>
      </c>
      <c r="J50" s="1">
        <f t="shared" si="0"/>
        <v>-100</v>
      </c>
      <c r="K50" s="1" cm="1">
        <f t="array" ref="K50">_xlfn.IFS(C50&lt;=C$8/(1+$C$5),-1,C50&lt;=C$8*(1+$C$5),2*((1+$C$5)*C50-C$8)/($C$5*(C$8+C50))-1,TRUE,1)</f>
        <v>-1</v>
      </c>
      <c r="L50" s="1" cm="1">
        <f t="array" ref="L50">_xlfn.IFS(D50&lt;=D$8/(1+$C$5),-1,D50&lt;=D$8*(1+$C$5),2*((1+$C$5)*D50-D$8)/($C$5*(D$8+D50))-1,TRUE,1)</f>
        <v>-1</v>
      </c>
      <c r="M50" s="1" cm="1">
        <f t="array" ref="M50">_xlfn.IFS(E50&lt;=E$8/(1+$C$5),-1,E50&lt;=E$8*(1+$C$5),2*((1+$C$5)*E50-E$8)/($C$5*(E$8+E50))-1,TRUE,1)</f>
        <v>-1</v>
      </c>
      <c r="N50" s="1">
        <f t="shared" si="1"/>
        <v>-100</v>
      </c>
      <c r="O50" s="1" cm="1">
        <f t="array" ref="O50">_xlfn.IFS(C50&lt;=C$9/(1+$C$5),-1,C50&lt;=C$9*(1+$C$5),2*((1+$C$5)*C50-C$9)/($C$5*(C$9+C50))-1,TRUE,1)</f>
        <v>-1</v>
      </c>
      <c r="P50" s="1" cm="1">
        <f t="array" ref="P50">_xlfn.IFS(D50&lt;=D$9/(1+$C$5),-1,D50&lt;=D$9*(1+$C$5),2*((1+$C$5)*D50-D$9)/($C$5*(D$9+D50))-1,TRUE,1)</f>
        <v>-1</v>
      </c>
      <c r="Q50" s="1" cm="1">
        <f t="array" ref="Q50">_xlfn.IFS(E50&lt;=E$9/(1+$C$5),-1,E50&lt;=E$9*(1+$C$5),2*((1+$C$5)*E50-E$9)/($C$5*(E$9+E50))-1,TRUE,1)</f>
        <v>-1</v>
      </c>
      <c r="R50" s="1">
        <f t="shared" si="2"/>
        <v>-100</v>
      </c>
      <c r="S50" s="1" t="s">
        <v>11</v>
      </c>
      <c r="T50" t="str" cm="1">
        <f t="array" ref="T50">_xlfn.IFS(J50&gt;=0,"A",N50&gt;=0,"B+",R50&gt;=0,"B",TRUE,"C")</f>
        <v>C</v>
      </c>
      <c r="U50" s="3"/>
      <c r="V50" cm="1">
        <f t="array" ref="V50">_xlfn.IFS(J50&gt;=0,1,N50&gt;=0,2,R50&gt;=0,3,TRUE,4)</f>
        <v>4</v>
      </c>
      <c r="W50" cm="1">
        <f t="array" ref="W50">_xlfn.IFS(U50="",V50,U50="A",1,U50="B+",2,U50="B",3,TRUE,4)</f>
        <v>4</v>
      </c>
      <c r="X50" s="1">
        <f t="shared" si="3"/>
        <v>0</v>
      </c>
    </row>
    <row r="51" spans="1:24" x14ac:dyDescent="0.2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U51" s="3"/>
    </row>
    <row r="52" spans="1:24" x14ac:dyDescent="0.2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U52" s="3"/>
    </row>
    <row r="53" spans="1:24" x14ac:dyDescent="0.2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U53" s="3"/>
    </row>
    <row r="54" spans="1:24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U54" s="3"/>
    </row>
    <row r="55" spans="1:24" x14ac:dyDescent="0.2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U55" s="3"/>
    </row>
    <row r="56" spans="1:24" x14ac:dyDescent="0.2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U56" s="3"/>
    </row>
    <row r="57" spans="1:24" x14ac:dyDescent="0.2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U57" s="3"/>
    </row>
    <row r="58" spans="1:24" x14ac:dyDescent="0.2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U58" s="3"/>
    </row>
    <row r="59" spans="1:24" x14ac:dyDescent="0.2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U59" s="3"/>
    </row>
    <row r="60" spans="1:24" x14ac:dyDescent="0.2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U60" s="3"/>
    </row>
    <row r="61" spans="1:24" x14ac:dyDescent="0.2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U61" s="3"/>
    </row>
    <row r="62" spans="1:24" x14ac:dyDescent="0.2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U62" s="3"/>
    </row>
    <row r="63" spans="1:24" x14ac:dyDescent="0.2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U63" s="3"/>
    </row>
    <row r="64" spans="1:24" x14ac:dyDescent="0.2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U64" s="3"/>
    </row>
    <row r="65" spans="3:21" x14ac:dyDescent="0.2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U65" s="3"/>
    </row>
    <row r="66" spans="3:21" x14ac:dyDescent="0.2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U66" s="3"/>
    </row>
  </sheetData>
  <autoFilter ref="A11:X50" xr:uid="{DAFC2293-6491-0942-BF50-94BA815BECB9}">
    <sortState xmlns:xlrd2="http://schemas.microsoft.com/office/spreadsheetml/2017/richdata2" ref="A12:X50">
      <sortCondition descending="1" ref="J11:J50"/>
    </sortState>
  </autoFilter>
  <dataConsolidate function="count"/>
  <conditionalFormatting sqref="I51:S66 J12:S5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1">
    <dataValidation type="list" allowBlank="1" showInputMessage="1" showErrorMessage="1" sqref="U12:U66" xr:uid="{946ED3DC-A80F-764D-8715-993B732AF8CA}">
      <formula1>"A,B+,B,C"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 Pawlak</dc:creator>
  <cp:lastModifiedBy>Tomasz Pawlak</cp:lastModifiedBy>
  <dcterms:created xsi:type="dcterms:W3CDTF">2025-06-10T18:07:37Z</dcterms:created>
  <dcterms:modified xsi:type="dcterms:W3CDTF">2026-03-18T15:37:38Z</dcterms:modified>
</cp:coreProperties>
</file>